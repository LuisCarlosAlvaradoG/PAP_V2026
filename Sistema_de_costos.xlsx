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ll\OneDrive\Documentos\Clases ITESO\PAP\V2026\"/>
    </mc:Choice>
  </mc:AlternateContent>
  <xr:revisionPtr revIDLastSave="0" documentId="8_{7D84CE6A-9B61-4414-BD95-CDAEB5032DD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EDETERMINADOS" sheetId="1" r:id="rId1"/>
    <sheet name="PRORRATEO PRIMARIO ESTIMADO" sheetId="2" r:id="rId2"/>
  </sheets>
  <externalReferences>
    <externalReference r:id="rId3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1" l="1"/>
  <c r="J44" i="1"/>
  <c r="J43" i="1"/>
  <c r="J39" i="1"/>
  <c r="J33" i="1"/>
  <c r="J36" i="1"/>
  <c r="L36" i="1"/>
  <c r="C37" i="1"/>
  <c r="D56" i="2"/>
  <c r="C56" i="2"/>
  <c r="F46" i="2"/>
  <c r="E46" i="2"/>
  <c r="D46" i="2"/>
  <c r="B46" i="2"/>
  <c r="B40" i="2"/>
  <c r="C36" i="2"/>
  <c r="C35" i="2"/>
  <c r="C34" i="2"/>
  <c r="C37" i="2" s="1"/>
  <c r="C40" i="2" s="1"/>
  <c r="E28" i="2"/>
  <c r="D28" i="2"/>
  <c r="E27" i="2"/>
  <c r="E43" i="2" s="1"/>
  <c r="D27" i="2"/>
  <c r="D43" i="2" s="1"/>
  <c r="B24" i="2"/>
  <c r="E23" i="2"/>
  <c r="D23" i="2"/>
  <c r="B23" i="2"/>
  <c r="E22" i="2"/>
  <c r="D22" i="2"/>
  <c r="B16" i="2"/>
  <c r="C11" i="2"/>
  <c r="C10" i="2"/>
  <c r="C9" i="2"/>
  <c r="C8" i="2"/>
  <c r="C7" i="2"/>
  <c r="C13" i="2" s="1"/>
  <c r="E5" i="2"/>
  <c r="E29" i="2" s="1"/>
  <c r="D5" i="2"/>
  <c r="D29" i="2" s="1"/>
  <c r="F4" i="2"/>
  <c r="F28" i="2" s="1"/>
  <c r="F3" i="2"/>
  <c r="C41" i="2" s="1"/>
  <c r="N23" i="1"/>
  <c r="L23" i="1"/>
  <c r="J23" i="1"/>
  <c r="I23" i="1"/>
  <c r="H23" i="1"/>
  <c r="D23" i="1"/>
  <c r="O23" i="1" s="1"/>
  <c r="N22" i="1"/>
  <c r="L22" i="1"/>
  <c r="J22" i="1"/>
  <c r="I22" i="1"/>
  <c r="H22" i="1"/>
  <c r="D22" i="1"/>
  <c r="O22" i="1" s="1"/>
  <c r="N21" i="1"/>
  <c r="L21" i="1"/>
  <c r="J21" i="1"/>
  <c r="I21" i="1"/>
  <c r="H21" i="1"/>
  <c r="D21" i="1"/>
  <c r="O21" i="1" s="1"/>
  <c r="O20" i="1"/>
  <c r="L20" i="1"/>
  <c r="K20" i="1"/>
  <c r="I20" i="1"/>
  <c r="H20" i="1"/>
  <c r="C20" i="1"/>
  <c r="D20" i="1" s="1"/>
  <c r="O19" i="1"/>
  <c r="N19" i="1"/>
  <c r="L19" i="1"/>
  <c r="K19" i="1"/>
  <c r="I19" i="1"/>
  <c r="H19" i="1"/>
  <c r="D19" i="1"/>
  <c r="J19" i="1" s="1"/>
  <c r="O18" i="1"/>
  <c r="L18" i="1"/>
  <c r="K18" i="1"/>
  <c r="I18" i="1"/>
  <c r="H18" i="1"/>
  <c r="D18" i="1"/>
  <c r="N18" i="1" s="1"/>
  <c r="O17" i="1"/>
  <c r="L17" i="1"/>
  <c r="K17" i="1"/>
  <c r="I17" i="1"/>
  <c r="H17" i="1"/>
  <c r="C17" i="1"/>
  <c r="D17" i="1" s="1"/>
  <c r="O16" i="1"/>
  <c r="N16" i="1"/>
  <c r="L16" i="1"/>
  <c r="K16" i="1"/>
  <c r="J16" i="1"/>
  <c r="I16" i="1"/>
  <c r="H16" i="1"/>
  <c r="D16" i="1"/>
  <c r="O15" i="1"/>
  <c r="N15" i="1"/>
  <c r="L15" i="1"/>
  <c r="K15" i="1"/>
  <c r="J15" i="1"/>
  <c r="I15" i="1"/>
  <c r="M15" i="1" s="1"/>
  <c r="H15" i="1"/>
  <c r="D15" i="1"/>
  <c r="O14" i="1"/>
  <c r="N14" i="1"/>
  <c r="L14" i="1"/>
  <c r="K14" i="1"/>
  <c r="I14" i="1"/>
  <c r="H14" i="1"/>
  <c r="D14" i="1"/>
  <c r="J14" i="1" s="1"/>
  <c r="N13" i="1"/>
  <c r="L13" i="1"/>
  <c r="J13" i="1"/>
  <c r="I13" i="1"/>
  <c r="H13" i="1"/>
  <c r="D13" i="1"/>
  <c r="K13" i="1" s="1"/>
  <c r="N12" i="1"/>
  <c r="L12" i="1"/>
  <c r="K12" i="1"/>
  <c r="I12" i="1"/>
  <c r="H12" i="1"/>
  <c r="D12" i="1"/>
  <c r="O12" i="1" s="1"/>
  <c r="N11" i="1"/>
  <c r="L11" i="1"/>
  <c r="K11" i="1"/>
  <c r="I11" i="1"/>
  <c r="H11" i="1"/>
  <c r="D11" i="1"/>
  <c r="O11" i="1" s="1"/>
  <c r="N10" i="1"/>
  <c r="L10" i="1"/>
  <c r="K10" i="1"/>
  <c r="I10" i="1"/>
  <c r="H10" i="1"/>
  <c r="D10" i="1"/>
  <c r="O10" i="1" s="1"/>
  <c r="N9" i="1"/>
  <c r="L9" i="1"/>
  <c r="K9" i="1"/>
  <c r="I9" i="1"/>
  <c r="H9" i="1"/>
  <c r="D9" i="1"/>
  <c r="O9" i="1" s="1"/>
  <c r="N8" i="1"/>
  <c r="L8" i="1"/>
  <c r="K8" i="1"/>
  <c r="I8" i="1"/>
  <c r="H8" i="1"/>
  <c r="D8" i="1"/>
  <c r="J8" i="1" s="1"/>
  <c r="N7" i="1"/>
  <c r="L7" i="1"/>
  <c r="J7" i="1"/>
  <c r="I7" i="1"/>
  <c r="H7" i="1"/>
  <c r="D7" i="1"/>
  <c r="K7" i="1" s="1"/>
  <c r="N6" i="1"/>
  <c r="L6" i="1"/>
  <c r="J6" i="1"/>
  <c r="I6" i="1"/>
  <c r="H6" i="1"/>
  <c r="D6" i="1"/>
  <c r="O6" i="1" s="1"/>
  <c r="O5" i="1"/>
  <c r="L5" i="1"/>
  <c r="K5" i="1"/>
  <c r="J5" i="1"/>
  <c r="H5" i="1"/>
  <c r="D5" i="1"/>
  <c r="I5" i="1" s="1"/>
  <c r="O4" i="1"/>
  <c r="N4" i="1"/>
  <c r="L4" i="1"/>
  <c r="K4" i="1"/>
  <c r="J4" i="1"/>
  <c r="I4" i="1"/>
  <c r="H4" i="1"/>
  <c r="D4" i="1"/>
  <c r="O3" i="1"/>
  <c r="N3" i="1"/>
  <c r="L3" i="1"/>
  <c r="K3" i="1"/>
  <c r="J3" i="1"/>
  <c r="I3" i="1"/>
  <c r="D3" i="1"/>
  <c r="M14" i="1" l="1"/>
  <c r="M16" i="1"/>
  <c r="L25" i="1"/>
  <c r="M11" i="1"/>
  <c r="M4" i="1"/>
  <c r="J12" i="1"/>
  <c r="M12" i="1"/>
  <c r="M10" i="1"/>
  <c r="J11" i="1"/>
  <c r="M8" i="1"/>
  <c r="J9" i="1"/>
  <c r="M9" i="1" s="1"/>
  <c r="J10" i="1"/>
  <c r="M19" i="1"/>
  <c r="M7" i="1"/>
  <c r="N17" i="1"/>
  <c r="J17" i="1"/>
  <c r="J20" i="1"/>
  <c r="M20" i="1" s="1"/>
  <c r="N20" i="1"/>
  <c r="D25" i="1"/>
  <c r="M5" i="1"/>
  <c r="M13" i="1"/>
  <c r="C49" i="2"/>
  <c r="I25" i="1"/>
  <c r="D49" i="2"/>
  <c r="C16" i="2"/>
  <c r="XFD13" i="2"/>
  <c r="C42" i="2"/>
  <c r="F5" i="2"/>
  <c r="F29" i="2" s="1"/>
  <c r="K21" i="1"/>
  <c r="M21" i="1" s="1"/>
  <c r="K22" i="1"/>
  <c r="M22" i="1" s="1"/>
  <c r="J18" i="1"/>
  <c r="M18" i="1" s="1"/>
  <c r="K23" i="1"/>
  <c r="M23" i="1" s="1"/>
  <c r="O7" i="1"/>
  <c r="O13" i="1"/>
  <c r="O8" i="1"/>
  <c r="K6" i="1"/>
  <c r="M6" i="1" s="1"/>
  <c r="H3" i="1"/>
  <c r="N5" i="1"/>
  <c r="N25" i="1" s="1"/>
  <c r="J32" i="1" s="1"/>
  <c r="L32" i="1" s="1"/>
  <c r="F23" i="2"/>
  <c r="C17" i="2"/>
  <c r="J25" i="1" l="1"/>
  <c r="O25" i="1"/>
  <c r="J46" i="1"/>
  <c r="M3" i="1"/>
  <c r="H25" i="1"/>
  <c r="M17" i="1"/>
  <c r="C18" i="2"/>
  <c r="XFD16" i="2"/>
  <c r="C29" i="1"/>
  <c r="E44" i="2"/>
  <c r="D44" i="2"/>
  <c r="K25" i="1"/>
  <c r="C32" i="1" s="1"/>
  <c r="C46" i="1" s="1"/>
  <c r="C31" i="1" l="1"/>
  <c r="C30" i="1"/>
  <c r="C28" i="1"/>
  <c r="M25" i="1"/>
  <c r="C52" i="2"/>
  <c r="F44" i="2"/>
  <c r="C63" i="2"/>
  <c r="E63" i="2" s="1"/>
  <c r="D52" i="2"/>
  <c r="D63" i="2"/>
  <c r="E24" i="2"/>
  <c r="E25" i="2" s="1"/>
  <c r="E30" i="2" s="1"/>
  <c r="D24" i="2"/>
  <c r="D25" i="2" s="1"/>
  <c r="D50" i="2" l="1"/>
  <c r="E31" i="2"/>
  <c r="D30" i="2"/>
  <c r="F25" i="2"/>
  <c r="F30" i="2" s="1"/>
  <c r="F31" i="2" s="1"/>
  <c r="C44" i="1"/>
  <c r="C33" i="1"/>
  <c r="C34" i="1" l="1"/>
  <c r="C50" i="2"/>
  <c r="D31" i="2"/>
  <c r="E45" i="2"/>
  <c r="E47" i="2" s="1"/>
  <c r="D61" i="2"/>
  <c r="D45" i="2" l="1"/>
  <c r="C61" i="2"/>
  <c r="E61" i="2" s="1"/>
  <c r="C51" i="2" a="1"/>
  <c r="C35" i="1"/>
  <c r="C36" i="1"/>
  <c r="D51" i="2" l="1"/>
  <c r="D53" i="2" s="1"/>
  <c r="D54" i="2" s="1"/>
  <c r="D55" i="2" s="1"/>
  <c r="C51" i="2"/>
  <c r="C53" i="2" s="1"/>
  <c r="C54" i="2" s="1"/>
  <c r="C55" i="2" s="1"/>
  <c r="C48" i="1"/>
  <c r="F45" i="2"/>
  <c r="D47" i="2"/>
  <c r="D60" i="2" l="1"/>
  <c r="D62" i="2" s="1"/>
  <c r="D64" i="2" s="1"/>
  <c r="D57" i="2"/>
  <c r="C57" i="2"/>
  <c r="C60" i="2"/>
  <c r="C39" i="1"/>
  <c r="J31" i="1"/>
  <c r="C43" i="1"/>
  <c r="C45" i="1" s="1"/>
  <c r="C47" i="1" s="1"/>
  <c r="C49" i="1" s="1"/>
  <c r="L31" i="1" l="1"/>
  <c r="L33" i="1"/>
  <c r="C62" i="2"/>
  <c r="E60" i="2"/>
  <c r="C64" i="2" l="1"/>
  <c r="E64" i="2" s="1"/>
  <c r="E62" i="2"/>
  <c r="J47" i="1" l="1"/>
</calcChain>
</file>

<file path=xl/sharedStrings.xml><?xml version="1.0" encoding="utf-8"?>
<sst xmlns="http://schemas.openxmlformats.org/spreadsheetml/2006/main" count="217" uniqueCount="122">
  <si>
    <t>Determinar el presupuesto de costos para elaborar 100,000 vasitos de fruta</t>
  </si>
  <si>
    <t xml:space="preserve">DATOS </t>
  </si>
  <si>
    <t>GASTOS MENSUALES</t>
  </si>
  <si>
    <t>CLASIFICACION DE LOS COSTOS</t>
  </si>
  <si>
    <t>D/I</t>
  </si>
  <si>
    <t>FIJOS O VARIABLES</t>
  </si>
  <si>
    <t>MATERIA PRIMA</t>
  </si>
  <si>
    <t>MANO DE OBRA</t>
  </si>
  <si>
    <t>GASTOS INDIRECTOS</t>
  </si>
  <si>
    <t>GASTOS DE ADMINISTRACION</t>
  </si>
  <si>
    <t>GASTOS DE VENTA</t>
  </si>
  <si>
    <t>TOTAL</t>
  </si>
  <si>
    <t>VARIABLES</t>
  </si>
  <si>
    <t>FIJOS</t>
  </si>
  <si>
    <t xml:space="preserve"> INGREDIENTES PARA ELABORAR 1 VASITO</t>
  </si>
  <si>
    <t>FRUTA</t>
  </si>
  <si>
    <t>D</t>
  </si>
  <si>
    <t>V</t>
  </si>
  <si>
    <t>AZÚCAR</t>
  </si>
  <si>
    <t>17 JORNALES PROCESO DE PRODUCCIÓN, 8 HORAS DIARIAS</t>
  </si>
  <si>
    <t>GERENCIA</t>
  </si>
  <si>
    <t>F</t>
  </si>
  <si>
    <t>CONTADOR</t>
  </si>
  <si>
    <t>SUPERVISOR PRODUCCIÓN</t>
  </si>
  <si>
    <t>I</t>
  </si>
  <si>
    <t>SUPERVISOR CALIDAD</t>
  </si>
  <si>
    <t>ANDEN</t>
  </si>
  <si>
    <t>CHOFER</t>
  </si>
  <si>
    <t>MANTENIMIENTO</t>
  </si>
  <si>
    <t xml:space="preserve">LUZ AL MES PARA LA ADMINISTRACION </t>
  </si>
  <si>
    <t>LUZ AL MES PARA LA PRODUCCIÓN</t>
  </si>
  <si>
    <t>AGUA AL MES PARA LA PRODUCCIÓN DE VASITOS</t>
  </si>
  <si>
    <t>REFRIGERACIÓN X KILO MENSUAL</t>
  </si>
  <si>
    <t xml:space="preserve">DEPRECIACION MAQUINARIA </t>
  </si>
  <si>
    <t>VASO</t>
  </si>
  <si>
    <t>SELLO</t>
  </si>
  <si>
    <t>CAJA 28 PESOS LE CABEN 48 VASOS</t>
  </si>
  <si>
    <t>PAPELERIA MENSUAL</t>
  </si>
  <si>
    <t>TELEFONO E INTERNET</t>
  </si>
  <si>
    <t>GASTOS VARIOS PARA LA ADMINISTRACIÓN DE LA EMPRESA SEMANAL</t>
  </si>
  <si>
    <t>TOTALES</t>
  </si>
  <si>
    <t xml:space="preserve"> </t>
  </si>
  <si>
    <t>COSTO DE ADQUISICION</t>
  </si>
  <si>
    <t>PUNTO DE EQUILIBRIO EN PESOS</t>
  </si>
  <si>
    <t>COSTO DE TRANSFORMACION</t>
  </si>
  <si>
    <t>COSTO PRIMO</t>
  </si>
  <si>
    <t>Costo Unitario</t>
  </si>
  <si>
    <t>COSTO DE PRODUCCION</t>
  </si>
  <si>
    <t>INGRESOS</t>
  </si>
  <si>
    <t>COSTO DE OPERACIÓN</t>
  </si>
  <si>
    <t>COSTOS VARIABLES</t>
  </si>
  <si>
    <t>COSTO TOTAL</t>
  </si>
  <si>
    <t>CONTRIBUCIÓN MARGINAL</t>
  </si>
  <si>
    <t>MARGEN DE CONTRIBUCION  (35%)</t>
  </si>
  <si>
    <t>UNIDADES</t>
  </si>
  <si>
    <t>IMPUESTO SOBRE LA RENTA  (ISR) 30%</t>
  </si>
  <si>
    <t>PARTICIPACION DE LAS UTILIDADES DE LOS TRABAJADORES (PTU) 10%</t>
  </si>
  <si>
    <t>COSTOS FIJOS TOTALES</t>
  </si>
  <si>
    <t>TOTAL DE INGRESOS</t>
  </si>
  <si>
    <t>TOTAL DE VASITOS EN EL MES</t>
  </si>
  <si>
    <t>PRECIO DE VENTA UNITARIO</t>
  </si>
  <si>
    <t>PUNTO DE EQUILIBRIO</t>
  </si>
  <si>
    <t>ESTADO DE RESULTADO</t>
  </si>
  <si>
    <t>COMPROBACIÓN</t>
  </si>
  <si>
    <t>MENOS</t>
  </si>
  <si>
    <t>COSTO DE VENTA (COSTO DE PRODUCCIÓN)</t>
  </si>
  <si>
    <t>IGUAL</t>
  </si>
  <si>
    <t>UTILIDAD BRUTA</t>
  </si>
  <si>
    <t>COSTOS DE OPERACIÓN</t>
  </si>
  <si>
    <t>COSTOS FIJOS</t>
  </si>
  <si>
    <t xml:space="preserve">IGUAL </t>
  </si>
  <si>
    <t>UTILIDAD NETA</t>
  </si>
  <si>
    <t>UTILIDAD</t>
  </si>
  <si>
    <t>ISR Y PTU (40%)</t>
  </si>
  <si>
    <t>UTILIDAD DESPUES DE IMPUESTOS</t>
  </si>
  <si>
    <t>FV PROCESADOS</t>
  </si>
  <si>
    <t>DATOS ADICIONALES</t>
  </si>
  <si>
    <t>PRODUCCION "A"</t>
  </si>
  <si>
    <t>PRODUCCION "B"</t>
  </si>
  <si>
    <t>VASO DE FRUTA</t>
  </si>
  <si>
    <t xml:space="preserve">MIX 1KG BERRIES </t>
  </si>
  <si>
    <t>UNIDADES PRODUCIDAS</t>
  </si>
  <si>
    <t>MATERIA PRIMA DIRECTA  (MPD)</t>
  </si>
  <si>
    <t>MANO DE OBRA DIRECTA (MOD)</t>
  </si>
  <si>
    <t>TOTAL DE GASTOS INDIRECTOS DE FABRICACION (GIF)</t>
  </si>
  <si>
    <t>Sueldo de supervisores</t>
  </si>
  <si>
    <t>Depreciación de maquinaria</t>
  </si>
  <si>
    <t>Sueldo departamentos de planta</t>
  </si>
  <si>
    <t>Empaque</t>
  </si>
  <si>
    <t>Luz, agua y refrigeración</t>
  </si>
  <si>
    <t>SUMA</t>
  </si>
  <si>
    <t>DETERMINACION DEL COEFICIENTE DE COSTOS INDIRECTOS</t>
  </si>
  <si>
    <t>ENTRE</t>
  </si>
  <si>
    <t>COEFICIENTE DE COSTOS O GASTOS INDIRECTOS</t>
  </si>
  <si>
    <t>DETERMINACION DEL PRORRATEO DE GASTOS INDIRECTOS DE FABRICACION Y COSTO TOTAL DE PRODUCCION</t>
  </si>
  <si>
    <t>POR</t>
  </si>
  <si>
    <t>GASTOS INDIRECTOS PRORRATEADOS</t>
  </si>
  <si>
    <t>COSTO TOTAL DE PRODUCCIÓN</t>
  </si>
  <si>
    <t>GASTOS INDIRECTOS DE FABRICACION</t>
  </si>
  <si>
    <t>TOTAL DE COSTO DE PRODUCCION</t>
  </si>
  <si>
    <t>TOTAL DE GASTOS DE OPERACIÓN</t>
  </si>
  <si>
    <t>Sueldos administración</t>
  </si>
  <si>
    <t>Indirectos de operación</t>
  </si>
  <si>
    <t>Energia electrica</t>
  </si>
  <si>
    <t>DETERMINACIÓN DEL COEFICIENTE DE COSTOS DE OPERACIÓN</t>
  </si>
  <si>
    <t>COEFICIENTE DE COSTOS O GASTOS DE OPERACIÓN</t>
  </si>
  <si>
    <t>TOTAL DE COSTO DE OPERACIÓN</t>
  </si>
  <si>
    <t>COSTO UNITARIO DE PRODUCCION</t>
  </si>
  <si>
    <t>DETERMINAR EL COSTO PRIMO</t>
  </si>
  <si>
    <t>DETERMINAR EL COSTO DE TRANSFORMACIÓN</t>
  </si>
  <si>
    <t>DETERMINAR EL COSTO DE PRODUCCION</t>
  </si>
  <si>
    <t>DETERMINAR EL COSTO DE OPERACIÓN</t>
  </si>
  <si>
    <t>DETERMINAR EL COSTO TOTAL</t>
  </si>
  <si>
    <t>MARGEN DE UTILIDAD (35% y 35%)</t>
  </si>
  <si>
    <t>VALOR DE LA VENTA TOTAL</t>
  </si>
  <si>
    <t>PRECIO DE VENTA POR UNIDAD</t>
  </si>
  <si>
    <t>ESTADO DE RESULTADOS</t>
  </si>
  <si>
    <t xml:space="preserve">     VENTA</t>
  </si>
  <si>
    <t>(-) COSTO DE PRODUCCION</t>
  </si>
  <si>
    <t>(=) UTILIDAD BRUTA</t>
  </si>
  <si>
    <t>(-) COSTO DE OPERACIÓN</t>
  </si>
  <si>
    <t>(=) UTILIDAD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</si>
</sst>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_-&quot;$&quot;* #,##0.00_-;\-&quot;$&quot;* #,##0.00_-;_-&quot;$&quot;* &quot;-&quot;??_-;_-@"/>
    <numFmt numFmtId="167" formatCode="_-&quot;$&quot;* #,##0_-;\-&quot;$&quot;* #,##0_-;_-&quot;$&quot;* &quot;-&quot;??_-;_-@_-"/>
    <numFmt numFmtId="168" formatCode="0.0"/>
    <numFmt numFmtId="169" formatCode="\$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1F4E7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/>
    <xf numFmtId="44" fontId="1" fillId="0" borderId="0"/>
    <xf numFmtId="9" fontId="1" fillId="0" borderId="0"/>
  </cellStyleXfs>
  <cellXfs count="59">
    <xf numFmtId="0" fontId="0" fillId="0" borderId="0" xfId="0"/>
    <xf numFmtId="0" fontId="7" fillId="4" borderId="0" xfId="0" applyFont="1" applyFill="1" applyBorder="1" applyAlignment="1">
      <alignment horizontal="center" vertical="center" wrapText="1"/>
    </xf>
    <xf numFmtId="44" fontId="7" fillId="4" borderId="0" xfId="2" applyFont="1" applyFill="1" applyBorder="1" applyAlignment="1">
      <alignment horizontal="center" vertical="center" wrapText="1"/>
    </xf>
    <xf numFmtId="0" fontId="0" fillId="3" borderId="0" xfId="0" applyFill="1" applyBorder="1"/>
    <xf numFmtId="0" fontId="0" fillId="0" borderId="0" xfId="0" applyBorder="1"/>
    <xf numFmtId="0" fontId="6" fillId="3" borderId="0" xfId="0" applyFont="1" applyFill="1" applyBorder="1" applyAlignment="1">
      <alignment horizontal="left" vertical="center" wrapText="1"/>
    </xf>
    <xf numFmtId="44" fontId="0" fillId="3" borderId="0" xfId="2" applyFont="1" applyFill="1" applyBorder="1"/>
    <xf numFmtId="0" fontId="0" fillId="3" borderId="0" xfId="0" applyFill="1" applyBorder="1" applyAlignment="1">
      <alignment wrapText="1"/>
    </xf>
    <xf numFmtId="44" fontId="6" fillId="3" borderId="0" xfId="2" applyFont="1" applyFill="1" applyBorder="1" applyAlignment="1">
      <alignment horizontal="right" vertical="center" wrapText="1"/>
    </xf>
    <xf numFmtId="44" fontId="8" fillId="5" borderId="0" xfId="0" applyNumberFormat="1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166" fontId="6" fillId="0" borderId="0" xfId="0" applyNumberFormat="1" applyFont="1" applyBorder="1" applyAlignment="1">
      <alignment horizontal="left" vertical="center" wrapText="1"/>
    </xf>
    <xf numFmtId="44" fontId="8" fillId="5" borderId="0" xfId="2" applyFont="1" applyFill="1" applyBorder="1" applyAlignment="1">
      <alignment horizontal="left" vertical="center" wrapText="1"/>
    </xf>
    <xf numFmtId="10" fontId="6" fillId="3" borderId="0" xfId="2" applyNumberFormat="1" applyFont="1" applyFill="1" applyBorder="1" applyAlignment="1">
      <alignment horizontal="right" vertical="center" wrapText="1"/>
    </xf>
    <xf numFmtId="169" fontId="6" fillId="3" borderId="0" xfId="2" applyNumberFormat="1" applyFont="1" applyFill="1" applyBorder="1" applyAlignment="1">
      <alignment horizontal="right" vertical="center" wrapText="1"/>
    </xf>
    <xf numFmtId="44" fontId="0" fillId="3" borderId="0" xfId="0" applyNumberFormat="1" applyFill="1" applyBorder="1"/>
    <xf numFmtId="0" fontId="5" fillId="0" borderId="0" xfId="0" applyFont="1" applyBorder="1"/>
    <xf numFmtId="166" fontId="5" fillId="0" borderId="0" xfId="0" applyNumberFormat="1" applyFont="1" applyBorder="1" applyAlignment="1">
      <alignment horizontal="center"/>
    </xf>
    <xf numFmtId="0" fontId="8" fillId="5" borderId="0" xfId="0" applyFont="1" applyFill="1" applyBorder="1" applyAlignment="1">
      <alignment horizontal="left" vertical="center" wrapText="1"/>
    </xf>
    <xf numFmtId="44" fontId="6" fillId="3" borderId="0" xfId="0" applyNumberFormat="1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9" fontId="0" fillId="3" borderId="0" xfId="0" applyNumberFormat="1" applyFill="1" applyBorder="1"/>
    <xf numFmtId="9" fontId="0" fillId="3" borderId="0" xfId="3" applyFont="1" applyFill="1" applyBorder="1"/>
    <xf numFmtId="43" fontId="6" fillId="3" borderId="0" xfId="1" applyFont="1" applyFill="1" applyBorder="1" applyAlignment="1">
      <alignment horizontal="left" vertical="center" wrapText="1"/>
    </xf>
    <xf numFmtId="167" fontId="0" fillId="3" borderId="0" xfId="0" applyNumberFormat="1" applyFill="1" applyBorder="1"/>
    <xf numFmtId="168" fontId="8" fillId="5" borderId="0" xfId="2" applyNumberFormat="1" applyFont="1" applyFill="1" applyBorder="1" applyAlignment="1">
      <alignment horizontal="left" vertical="center" wrapText="1"/>
    </xf>
    <xf numFmtId="1" fontId="0" fillId="3" borderId="0" xfId="0" applyNumberFormat="1" applyFill="1" applyBorder="1"/>
    <xf numFmtId="0" fontId="0" fillId="0" borderId="0" xfId="0" applyFill="1" applyBorder="1"/>
    <xf numFmtId="0" fontId="3" fillId="0" borderId="0" xfId="0" applyFont="1" applyBorder="1"/>
    <xf numFmtId="43" fontId="7" fillId="4" borderId="0" xfId="1" applyFont="1" applyFill="1" applyBorder="1" applyAlignment="1">
      <alignment horizontal="center" vertical="center" wrapText="1"/>
    </xf>
    <xf numFmtId="0" fontId="2" fillId="0" borderId="0" xfId="0" applyFont="1" applyBorder="1"/>
    <xf numFmtId="43" fontId="2" fillId="0" borderId="0" xfId="1" applyFont="1" applyBorder="1"/>
    <xf numFmtId="169" fontId="6" fillId="0" borderId="0" xfId="0" applyNumberFormat="1" applyFont="1" applyBorder="1" applyAlignment="1">
      <alignment horizontal="right" vertical="center" wrapText="1"/>
    </xf>
    <xf numFmtId="1" fontId="8" fillId="5" borderId="0" xfId="1" applyNumberFormat="1" applyFont="1" applyFill="1" applyBorder="1" applyAlignment="1">
      <alignment horizontal="left" vertical="center" wrapText="1"/>
    </xf>
    <xf numFmtId="169" fontId="6" fillId="0" borderId="0" xfId="1" applyNumberFormat="1" applyFont="1" applyBorder="1" applyAlignment="1">
      <alignment horizontal="right" vertical="center" wrapText="1"/>
    </xf>
    <xf numFmtId="0" fontId="4" fillId="0" borderId="0" xfId="0" applyFont="1" applyBorder="1"/>
    <xf numFmtId="44" fontId="4" fillId="0" borderId="0" xfId="2" applyFont="1" applyBorder="1"/>
    <xf numFmtId="43" fontId="8" fillId="5" borderId="0" xfId="1" applyFont="1" applyFill="1" applyBorder="1" applyAlignment="1">
      <alignment horizontal="left" vertical="center" wrapText="1"/>
    </xf>
    <xf numFmtId="44" fontId="3" fillId="0" borderId="0" xfId="2" applyFont="1" applyBorder="1"/>
    <xf numFmtId="43" fontId="3" fillId="0" borderId="0" xfId="1" applyFont="1" applyBorder="1"/>
    <xf numFmtId="0" fontId="4" fillId="0" borderId="0" xfId="0" applyFont="1" applyBorder="1" applyAlignment="1">
      <alignment wrapText="1"/>
    </xf>
    <xf numFmtId="44" fontId="3" fillId="0" borderId="0" xfId="0" applyNumberFormat="1" applyFont="1" applyBorder="1"/>
    <xf numFmtId="0" fontId="8" fillId="5" borderId="0" xfId="2" applyNumberFormat="1" applyFont="1" applyFill="1" applyBorder="1" applyAlignment="1">
      <alignment horizontal="left" vertical="center" wrapText="1"/>
    </xf>
    <xf numFmtId="164" fontId="8" fillId="5" borderId="0" xfId="2" applyNumberFormat="1" applyFont="1" applyFill="1" applyBorder="1" applyAlignment="1">
      <alignment horizontal="left" vertical="center" wrapText="1"/>
    </xf>
    <xf numFmtId="164" fontId="8" fillId="5" borderId="0" xfId="1" applyNumberFormat="1" applyFont="1" applyFill="1" applyBorder="1" applyAlignment="1">
      <alignment horizontal="left" vertical="center" wrapText="1"/>
    </xf>
    <xf numFmtId="165" fontId="6" fillId="0" borderId="0" xfId="1" applyNumberFormat="1" applyFont="1" applyBorder="1" applyAlignment="1">
      <alignment horizontal="left" vertical="center" wrapText="1"/>
    </xf>
    <xf numFmtId="43" fontId="6" fillId="0" borderId="0" xfId="1" applyFont="1" applyBorder="1" applyAlignment="1">
      <alignment horizontal="left" vertical="center" wrapText="1"/>
    </xf>
    <xf numFmtId="3" fontId="0" fillId="0" borderId="0" xfId="0" applyNumberFormat="1" applyBorder="1"/>
    <xf numFmtId="3" fontId="3" fillId="0" borderId="0" xfId="0" applyNumberFormat="1" applyFont="1" applyBorder="1"/>
    <xf numFmtId="3" fontId="8" fillId="5" borderId="0" xfId="0" applyNumberFormat="1" applyFont="1" applyFill="1" applyBorder="1" applyAlignment="1">
      <alignment horizontal="left" vertical="center" wrapText="1"/>
    </xf>
    <xf numFmtId="4" fontId="8" fillId="5" borderId="0" xfId="0" applyNumberFormat="1" applyFont="1" applyFill="1" applyBorder="1" applyAlignment="1">
      <alignment horizontal="left" vertical="center" wrapText="1"/>
    </xf>
    <xf numFmtId="165" fontId="8" fillId="5" borderId="0" xfId="1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right"/>
    </xf>
    <xf numFmtId="44" fontId="0" fillId="0" borderId="0" xfId="2" applyFont="1" applyBorder="1"/>
    <xf numFmtId="44" fontId="6" fillId="0" borderId="0" xfId="2" applyFont="1" applyBorder="1" applyAlignment="1">
      <alignment horizontal="left" vertical="center" wrapText="1"/>
    </xf>
    <xf numFmtId="169" fontId="6" fillId="0" borderId="0" xfId="2" applyNumberFormat="1" applyFont="1" applyBorder="1" applyAlignment="1">
      <alignment horizontal="right" vertical="center" wrapText="1"/>
    </xf>
    <xf numFmtId="43" fontId="8" fillId="5" borderId="0" xfId="0" applyNumberFormat="1" applyFont="1" applyFill="1" applyBorder="1" applyAlignment="1">
      <alignment horizontal="left" vertical="center" wrapText="1"/>
    </xf>
    <xf numFmtId="1" fontId="6" fillId="3" borderId="0" xfId="2" applyNumberFormat="1" applyFont="1" applyFill="1" applyBorder="1" applyAlignment="1">
      <alignment horizontal="right" vertical="center" wrapText="1"/>
    </xf>
    <xf numFmtId="0" fontId="6" fillId="3" borderId="0" xfId="0" applyNumberFormat="1" applyFont="1" applyFill="1" applyBorder="1" applyAlignment="1">
      <alignment horizontal="right" vertical="center" wrapText="1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quila Omar Guerrero 090126"/>
      <sheetName val="PREDETERMINADOS"/>
      <sheetName val="ESTADO DE COSTO DE PRODUCCIÓN "/>
      <sheetName val="PRORRATEO PRIMARIO ESTIMADO"/>
      <sheetName val="P. PRIM Y SECUNDARIO REAL"/>
      <sheetName val="REGISTRO CONTABLE"/>
      <sheetName val="VARIACIONES"/>
      <sheetName val="Hoja1"/>
      <sheetName val="Costos conjuntos"/>
    </sheetNames>
    <sheetDataSet>
      <sheetData sheetId="0"/>
      <sheetData sheetId="1">
        <row r="6">
          <cell r="K6">
            <v>20000</v>
          </cell>
        </row>
        <row r="7">
          <cell r="K7">
            <v>12000</v>
          </cell>
        </row>
        <row r="8">
          <cell r="D8">
            <v>16000</v>
          </cell>
        </row>
        <row r="9">
          <cell r="D9">
            <v>20000</v>
          </cell>
        </row>
        <row r="10">
          <cell r="D10">
            <v>16000</v>
          </cell>
        </row>
        <row r="11">
          <cell r="D11">
            <v>8000</v>
          </cell>
        </row>
        <row r="12">
          <cell r="D12">
            <v>8000</v>
          </cell>
        </row>
        <row r="13">
          <cell r="D13">
            <v>2000</v>
          </cell>
        </row>
        <row r="14">
          <cell r="D14">
            <v>10000</v>
          </cell>
        </row>
        <row r="15">
          <cell r="D15">
            <v>500</v>
          </cell>
        </row>
        <row r="16">
          <cell r="D16">
            <v>55500</v>
          </cell>
        </row>
        <row r="17">
          <cell r="D17">
            <v>5250</v>
          </cell>
        </row>
        <row r="18">
          <cell r="D18">
            <v>160000</v>
          </cell>
        </row>
        <row r="19">
          <cell r="D19">
            <v>130000</v>
          </cell>
        </row>
        <row r="20">
          <cell r="D20">
            <v>58333.333333333336</v>
          </cell>
        </row>
        <row r="21">
          <cell r="D21">
            <v>2000</v>
          </cell>
        </row>
        <row r="22">
          <cell r="D22">
            <v>1500</v>
          </cell>
        </row>
        <row r="23">
          <cell r="D23">
            <v>8000</v>
          </cell>
        </row>
        <row r="25">
          <cell r="I25">
            <v>21760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"/>
  <sheetViews>
    <sheetView showGridLines="0" zoomScale="90" zoomScaleNormal="90" workbookViewId="0">
      <pane ySplit="1" topLeftCell="A2" activePane="bottomLeft" state="frozen"/>
      <selection pane="bottomLeft" activeCell="J46" sqref="J46"/>
    </sheetView>
  </sheetViews>
  <sheetFormatPr baseColWidth="10" defaultColWidth="50" defaultRowHeight="14.4" x14ac:dyDescent="0.3"/>
  <cols>
    <col min="1" max="1" width="7.44140625" style="3" bestFit="1" customWidth="1"/>
    <col min="2" max="2" width="50" style="3" customWidth="1"/>
    <col min="3" max="3" width="15" style="6" bestFit="1" customWidth="1"/>
    <col min="4" max="4" width="18" style="3" bestFit="1" customWidth="1"/>
    <col min="5" max="5" width="29" style="3" customWidth="1"/>
    <col min="6" max="6" width="6" style="3" bestFit="1" customWidth="1"/>
    <col min="7" max="7" width="19" style="3" customWidth="1"/>
    <col min="8" max="8" width="21" style="3" bestFit="1" customWidth="1"/>
    <col min="9" max="9" width="30" style="3" bestFit="1" customWidth="1"/>
    <col min="10" max="10" width="21" style="3" bestFit="1" customWidth="1"/>
    <col min="11" max="11" width="26" style="3" customWidth="1"/>
    <col min="12" max="12" width="21" style="3" customWidth="1"/>
    <col min="13" max="13" width="15" style="3" bestFit="1" customWidth="1"/>
    <col min="14" max="14" width="20" style="4" customWidth="1"/>
    <col min="15" max="15" width="20" style="3" customWidth="1"/>
    <col min="16" max="16" width="6" style="3" customWidth="1"/>
    <col min="17" max="17" width="50" style="3" customWidth="1"/>
    <col min="18" max="18" width="23" style="4" customWidth="1"/>
    <col min="19" max="19" width="13" style="4" customWidth="1"/>
    <col min="20" max="20" width="6" style="4" customWidth="1"/>
    <col min="21" max="21" width="19" style="4" customWidth="1"/>
    <col min="22" max="22" width="12" style="4" customWidth="1"/>
    <col min="23" max="23" width="21" style="4" customWidth="1"/>
    <col min="24" max="16384" width="50" style="3"/>
  </cols>
  <sheetData>
    <row r="1" spans="2:23" ht="43.2" customHeight="1" x14ac:dyDescent="0.3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2:23" x14ac:dyDescent="0.3">
      <c r="B2" s="5" t="s">
        <v>14</v>
      </c>
      <c r="E2" s="7"/>
      <c r="R2" s="3"/>
      <c r="S2" s="3"/>
      <c r="T2" s="3"/>
      <c r="U2" s="3"/>
      <c r="V2" s="3"/>
      <c r="W2" s="3"/>
    </row>
    <row r="3" spans="2:23" x14ac:dyDescent="0.3">
      <c r="B3" s="5" t="s">
        <v>15</v>
      </c>
      <c r="C3" s="8">
        <v>3.7</v>
      </c>
      <c r="D3" s="9">
        <f>C3*100000</f>
        <v>370000</v>
      </c>
      <c r="E3" s="5" t="s">
        <v>6</v>
      </c>
      <c r="F3" s="10" t="s">
        <v>16</v>
      </c>
      <c r="G3" s="11" t="s">
        <v>17</v>
      </c>
      <c r="H3" s="9">
        <f t="shared" ref="H3:H23" si="0">IF(E3=$H$1,D3,0)</f>
        <v>370000</v>
      </c>
      <c r="I3" s="9">
        <f t="shared" ref="I3:I23" si="1">IF(E3=$I$1,D3,0)</f>
        <v>0</v>
      </c>
      <c r="J3" s="12">
        <f t="shared" ref="J3:J23" si="2">IF(E3=$J$1,D3,0)</f>
        <v>0</v>
      </c>
      <c r="K3" s="12">
        <f t="shared" ref="K3:K23" si="3">IF(E3=$K$1,D3,0)</f>
        <v>0</v>
      </c>
      <c r="L3" s="12">
        <f t="shared" ref="L3:L23" si="4">IF(E3=$L$1,D3,0)</f>
        <v>0</v>
      </c>
      <c r="M3" s="9">
        <f t="shared" ref="M3:M23" si="5">SUM(H3:L3)</f>
        <v>370000</v>
      </c>
      <c r="N3" s="9">
        <f t="shared" ref="N3:N23" si="6">IF(G3="V",D3,0)</f>
        <v>370000</v>
      </c>
      <c r="O3" s="12">
        <f t="shared" ref="O3:O23" si="7">IF(G3="F",D3,0)</f>
        <v>0</v>
      </c>
      <c r="R3" s="3"/>
      <c r="S3" s="3"/>
      <c r="T3" s="3"/>
      <c r="U3" s="3"/>
      <c r="V3" s="3"/>
      <c r="W3" s="3"/>
    </row>
    <row r="4" spans="2:23" x14ac:dyDescent="0.3">
      <c r="B4" s="5" t="s">
        <v>18</v>
      </c>
      <c r="C4" s="13">
        <v>0.74</v>
      </c>
      <c r="D4" s="9">
        <f>C4*100000</f>
        <v>74000</v>
      </c>
      <c r="E4" s="5" t="s">
        <v>6</v>
      </c>
      <c r="F4" s="10" t="s">
        <v>16</v>
      </c>
      <c r="G4" s="11" t="s">
        <v>17</v>
      </c>
      <c r="H4" s="9">
        <f t="shared" si="0"/>
        <v>74000</v>
      </c>
      <c r="I4" s="9">
        <f t="shared" si="1"/>
        <v>0</v>
      </c>
      <c r="J4" s="12">
        <f t="shared" si="2"/>
        <v>0</v>
      </c>
      <c r="K4" s="12">
        <f t="shared" si="3"/>
        <v>0</v>
      </c>
      <c r="L4" s="12">
        <f t="shared" si="4"/>
        <v>0</v>
      </c>
      <c r="M4" s="9">
        <f t="shared" si="5"/>
        <v>74000</v>
      </c>
      <c r="N4" s="9">
        <f t="shared" si="6"/>
        <v>74000</v>
      </c>
      <c r="O4" s="12">
        <f t="shared" si="7"/>
        <v>0</v>
      </c>
      <c r="R4" s="3"/>
      <c r="S4" s="3"/>
      <c r="T4" s="3"/>
      <c r="U4" s="3"/>
      <c r="V4" s="3"/>
      <c r="W4" s="3"/>
    </row>
    <row r="5" spans="2:23" ht="26.4" x14ac:dyDescent="0.3">
      <c r="B5" s="5" t="s">
        <v>19</v>
      </c>
      <c r="C5" s="14">
        <v>5440</v>
      </c>
      <c r="D5" s="9">
        <f t="shared" ref="D5:D12" si="8">C5*4</f>
        <v>21760</v>
      </c>
      <c r="E5" s="5" t="s">
        <v>7</v>
      </c>
      <c r="F5" s="10" t="s">
        <v>16</v>
      </c>
      <c r="G5" s="11" t="s">
        <v>17</v>
      </c>
      <c r="H5" s="9">
        <f t="shared" si="0"/>
        <v>0</v>
      </c>
      <c r="I5" s="9">
        <f t="shared" si="1"/>
        <v>21760</v>
      </c>
      <c r="J5" s="12">
        <f t="shared" si="2"/>
        <v>0</v>
      </c>
      <c r="K5" s="12">
        <f t="shared" si="3"/>
        <v>0</v>
      </c>
      <c r="L5" s="12">
        <f t="shared" si="4"/>
        <v>0</v>
      </c>
      <c r="M5" s="9">
        <f t="shared" si="5"/>
        <v>21760</v>
      </c>
      <c r="N5" s="9">
        <f t="shared" si="6"/>
        <v>21760</v>
      </c>
      <c r="O5" s="12">
        <f t="shared" si="7"/>
        <v>0</v>
      </c>
      <c r="R5" s="3"/>
      <c r="S5" s="3"/>
      <c r="T5" s="3"/>
      <c r="U5" s="3"/>
      <c r="V5" s="3"/>
      <c r="W5" s="3"/>
    </row>
    <row r="6" spans="2:23" x14ac:dyDescent="0.3">
      <c r="B6" s="5" t="s">
        <v>20</v>
      </c>
      <c r="C6" s="14">
        <v>5000</v>
      </c>
      <c r="D6" s="9">
        <f t="shared" si="8"/>
        <v>20000</v>
      </c>
      <c r="E6" s="5" t="s">
        <v>9</v>
      </c>
      <c r="F6" s="10" t="s">
        <v>16</v>
      </c>
      <c r="G6" s="11" t="s">
        <v>21</v>
      </c>
      <c r="H6" s="9">
        <f t="shared" si="0"/>
        <v>0</v>
      </c>
      <c r="I6" s="9">
        <f t="shared" si="1"/>
        <v>0</v>
      </c>
      <c r="J6" s="12">
        <f t="shared" si="2"/>
        <v>0</v>
      </c>
      <c r="K6" s="12">
        <f t="shared" si="3"/>
        <v>20000</v>
      </c>
      <c r="L6" s="12">
        <f t="shared" si="4"/>
        <v>0</v>
      </c>
      <c r="M6" s="9">
        <f t="shared" si="5"/>
        <v>20000</v>
      </c>
      <c r="N6" s="9">
        <f t="shared" si="6"/>
        <v>0</v>
      </c>
      <c r="O6" s="12">
        <f t="shared" si="7"/>
        <v>20000</v>
      </c>
      <c r="R6" s="3"/>
      <c r="S6" s="3"/>
      <c r="T6" s="3"/>
      <c r="U6" s="3"/>
      <c r="V6" s="3"/>
      <c r="W6" s="3"/>
    </row>
    <row r="7" spans="2:23" x14ac:dyDescent="0.3">
      <c r="B7" s="5" t="s">
        <v>22</v>
      </c>
      <c r="C7" s="14">
        <v>3000</v>
      </c>
      <c r="D7" s="9">
        <f t="shared" si="8"/>
        <v>12000</v>
      </c>
      <c r="E7" s="5" t="s">
        <v>9</v>
      </c>
      <c r="F7" s="10" t="s">
        <v>16</v>
      </c>
      <c r="G7" s="11" t="s">
        <v>21</v>
      </c>
      <c r="H7" s="9">
        <f t="shared" si="0"/>
        <v>0</v>
      </c>
      <c r="I7" s="9">
        <f t="shared" si="1"/>
        <v>0</v>
      </c>
      <c r="J7" s="12">
        <f t="shared" si="2"/>
        <v>0</v>
      </c>
      <c r="K7" s="12">
        <f t="shared" si="3"/>
        <v>12000</v>
      </c>
      <c r="L7" s="12">
        <f t="shared" si="4"/>
        <v>0</v>
      </c>
      <c r="M7" s="9">
        <f t="shared" si="5"/>
        <v>12000</v>
      </c>
      <c r="N7" s="9">
        <f t="shared" si="6"/>
        <v>0</v>
      </c>
      <c r="O7" s="12">
        <f t="shared" si="7"/>
        <v>12000</v>
      </c>
      <c r="R7" s="3"/>
      <c r="S7" s="3"/>
      <c r="T7" s="3"/>
      <c r="U7" s="3"/>
      <c r="V7" s="3"/>
      <c r="W7" s="3"/>
    </row>
    <row r="8" spans="2:23" x14ac:dyDescent="0.3">
      <c r="B8" s="5" t="s">
        <v>23</v>
      </c>
      <c r="C8" s="14">
        <v>4000</v>
      </c>
      <c r="D8" s="9">
        <f t="shared" si="8"/>
        <v>16000</v>
      </c>
      <c r="E8" s="5" t="s">
        <v>8</v>
      </c>
      <c r="F8" s="10" t="s">
        <v>24</v>
      </c>
      <c r="G8" s="11" t="s">
        <v>21</v>
      </c>
      <c r="H8" s="9">
        <f t="shared" si="0"/>
        <v>0</v>
      </c>
      <c r="I8" s="9">
        <f t="shared" si="1"/>
        <v>0</v>
      </c>
      <c r="J8" s="12">
        <f t="shared" si="2"/>
        <v>16000</v>
      </c>
      <c r="K8" s="12">
        <f t="shared" si="3"/>
        <v>0</v>
      </c>
      <c r="L8" s="12">
        <f t="shared" si="4"/>
        <v>0</v>
      </c>
      <c r="M8" s="9">
        <f t="shared" si="5"/>
        <v>16000</v>
      </c>
      <c r="N8" s="9">
        <f t="shared" si="6"/>
        <v>0</v>
      </c>
      <c r="O8" s="12">
        <f t="shared" si="7"/>
        <v>16000</v>
      </c>
      <c r="R8" s="3"/>
      <c r="S8" s="3"/>
      <c r="T8" s="3"/>
      <c r="U8" s="3"/>
      <c r="V8" s="3"/>
      <c r="W8" s="3"/>
    </row>
    <row r="9" spans="2:23" x14ac:dyDescent="0.3">
      <c r="B9" s="5" t="s">
        <v>25</v>
      </c>
      <c r="C9" s="14">
        <v>5000</v>
      </c>
      <c r="D9" s="9">
        <f t="shared" si="8"/>
        <v>20000</v>
      </c>
      <c r="E9" s="5" t="s">
        <v>8</v>
      </c>
      <c r="F9" s="10" t="s">
        <v>24</v>
      </c>
      <c r="G9" s="11" t="s">
        <v>21</v>
      </c>
      <c r="H9" s="9">
        <f t="shared" si="0"/>
        <v>0</v>
      </c>
      <c r="I9" s="9">
        <f t="shared" si="1"/>
        <v>0</v>
      </c>
      <c r="J9" s="12">
        <f t="shared" si="2"/>
        <v>20000</v>
      </c>
      <c r="K9" s="12">
        <f t="shared" si="3"/>
        <v>0</v>
      </c>
      <c r="L9" s="12">
        <f t="shared" si="4"/>
        <v>0</v>
      </c>
      <c r="M9" s="9">
        <f t="shared" si="5"/>
        <v>20000</v>
      </c>
      <c r="N9" s="9">
        <f t="shared" si="6"/>
        <v>0</v>
      </c>
      <c r="O9" s="12">
        <f t="shared" si="7"/>
        <v>20000</v>
      </c>
      <c r="R9" s="3"/>
      <c r="S9" s="3"/>
      <c r="T9" s="3"/>
      <c r="U9" s="3"/>
      <c r="V9" s="3"/>
      <c r="W9" s="3"/>
    </row>
    <row r="10" spans="2:23" x14ac:dyDescent="0.3">
      <c r="B10" s="5" t="s">
        <v>26</v>
      </c>
      <c r="C10" s="14">
        <v>4000</v>
      </c>
      <c r="D10" s="9">
        <f t="shared" si="8"/>
        <v>16000</v>
      </c>
      <c r="E10" s="5" t="s">
        <v>8</v>
      </c>
      <c r="F10" s="10" t="s">
        <v>24</v>
      </c>
      <c r="G10" s="11" t="s">
        <v>21</v>
      </c>
      <c r="H10" s="9">
        <f t="shared" si="0"/>
        <v>0</v>
      </c>
      <c r="I10" s="9">
        <f t="shared" si="1"/>
        <v>0</v>
      </c>
      <c r="J10" s="12">
        <f t="shared" si="2"/>
        <v>16000</v>
      </c>
      <c r="K10" s="12">
        <f t="shared" si="3"/>
        <v>0</v>
      </c>
      <c r="L10" s="12">
        <f t="shared" si="4"/>
        <v>0</v>
      </c>
      <c r="M10" s="9">
        <f t="shared" si="5"/>
        <v>16000</v>
      </c>
      <c r="N10" s="9">
        <f t="shared" si="6"/>
        <v>0</v>
      </c>
      <c r="O10" s="12">
        <f t="shared" si="7"/>
        <v>16000</v>
      </c>
      <c r="R10" s="3"/>
      <c r="S10" s="3"/>
      <c r="T10" s="3"/>
      <c r="U10" s="3"/>
      <c r="V10" s="3"/>
      <c r="W10" s="3"/>
    </row>
    <row r="11" spans="2:23" x14ac:dyDescent="0.3">
      <c r="B11" s="5" t="s">
        <v>27</v>
      </c>
      <c r="C11" s="14">
        <v>2000</v>
      </c>
      <c r="D11" s="9">
        <f t="shared" si="8"/>
        <v>8000</v>
      </c>
      <c r="E11" s="5" t="s">
        <v>8</v>
      </c>
      <c r="F11" s="10" t="s">
        <v>24</v>
      </c>
      <c r="G11" s="11" t="s">
        <v>21</v>
      </c>
      <c r="H11" s="9">
        <f t="shared" si="0"/>
        <v>0</v>
      </c>
      <c r="I11" s="9">
        <f t="shared" si="1"/>
        <v>0</v>
      </c>
      <c r="J11" s="12">
        <f t="shared" si="2"/>
        <v>8000</v>
      </c>
      <c r="K11" s="12">
        <f t="shared" si="3"/>
        <v>0</v>
      </c>
      <c r="L11" s="12">
        <f t="shared" si="4"/>
        <v>0</v>
      </c>
      <c r="M11" s="9">
        <f t="shared" si="5"/>
        <v>8000</v>
      </c>
      <c r="N11" s="9">
        <f t="shared" si="6"/>
        <v>0</v>
      </c>
      <c r="O11" s="12">
        <f t="shared" si="7"/>
        <v>8000</v>
      </c>
      <c r="R11" s="3"/>
      <c r="S11" s="3"/>
      <c r="T11" s="3"/>
      <c r="U11" s="3"/>
      <c r="V11" s="3"/>
      <c r="W11" s="3"/>
    </row>
    <row r="12" spans="2:23" x14ac:dyDescent="0.3">
      <c r="B12" s="5" t="s">
        <v>28</v>
      </c>
      <c r="C12" s="14">
        <v>2000</v>
      </c>
      <c r="D12" s="9">
        <f t="shared" si="8"/>
        <v>8000</v>
      </c>
      <c r="E12" s="5" t="s">
        <v>8</v>
      </c>
      <c r="F12" s="10" t="s">
        <v>24</v>
      </c>
      <c r="G12" s="11" t="s">
        <v>21</v>
      </c>
      <c r="H12" s="9">
        <f t="shared" si="0"/>
        <v>0</v>
      </c>
      <c r="I12" s="9">
        <f t="shared" si="1"/>
        <v>0</v>
      </c>
      <c r="J12" s="12">
        <f t="shared" si="2"/>
        <v>8000</v>
      </c>
      <c r="K12" s="12">
        <f t="shared" si="3"/>
        <v>0</v>
      </c>
      <c r="L12" s="12">
        <f t="shared" si="4"/>
        <v>0</v>
      </c>
      <c r="M12" s="9">
        <f t="shared" si="5"/>
        <v>8000</v>
      </c>
      <c r="N12" s="9">
        <f t="shared" si="6"/>
        <v>0</v>
      </c>
      <c r="O12" s="12">
        <f t="shared" si="7"/>
        <v>8000</v>
      </c>
      <c r="R12" s="3"/>
      <c r="S12" s="3"/>
      <c r="T12" s="3"/>
      <c r="U12" s="3"/>
      <c r="V12" s="3"/>
      <c r="W12" s="3"/>
    </row>
    <row r="13" spans="2:23" x14ac:dyDescent="0.3">
      <c r="B13" s="5" t="s">
        <v>29</v>
      </c>
      <c r="C13" s="14">
        <v>2000</v>
      </c>
      <c r="D13" s="9">
        <f>C13</f>
        <v>2000</v>
      </c>
      <c r="E13" s="5" t="s">
        <v>9</v>
      </c>
      <c r="F13" s="10" t="s">
        <v>24</v>
      </c>
      <c r="G13" s="11" t="s">
        <v>21</v>
      </c>
      <c r="H13" s="9">
        <f t="shared" si="0"/>
        <v>0</v>
      </c>
      <c r="I13" s="9">
        <f t="shared" si="1"/>
        <v>0</v>
      </c>
      <c r="J13" s="12">
        <f t="shared" si="2"/>
        <v>0</v>
      </c>
      <c r="K13" s="12">
        <f t="shared" si="3"/>
        <v>2000</v>
      </c>
      <c r="L13" s="12">
        <f t="shared" si="4"/>
        <v>0</v>
      </c>
      <c r="M13" s="9">
        <f t="shared" si="5"/>
        <v>2000</v>
      </c>
      <c r="N13" s="9">
        <f t="shared" si="6"/>
        <v>0</v>
      </c>
      <c r="O13" s="12">
        <f t="shared" si="7"/>
        <v>2000</v>
      </c>
      <c r="R13" s="3"/>
      <c r="S13" s="3"/>
      <c r="T13" s="3"/>
      <c r="U13" s="3"/>
      <c r="V13" s="3"/>
      <c r="W13" s="3"/>
    </row>
    <row r="14" spans="2:23" x14ac:dyDescent="0.3">
      <c r="B14" s="5" t="s">
        <v>30</v>
      </c>
      <c r="C14" s="14">
        <v>10000</v>
      </c>
      <c r="D14" s="9">
        <f>C14</f>
        <v>10000</v>
      </c>
      <c r="E14" s="5" t="s">
        <v>8</v>
      </c>
      <c r="F14" s="10" t="s">
        <v>24</v>
      </c>
      <c r="G14" s="11" t="s">
        <v>17</v>
      </c>
      <c r="H14" s="9">
        <f t="shared" si="0"/>
        <v>0</v>
      </c>
      <c r="I14" s="9">
        <f t="shared" si="1"/>
        <v>0</v>
      </c>
      <c r="J14" s="12">
        <f t="shared" si="2"/>
        <v>10000</v>
      </c>
      <c r="K14" s="12">
        <f t="shared" si="3"/>
        <v>0</v>
      </c>
      <c r="L14" s="12">
        <f t="shared" si="4"/>
        <v>0</v>
      </c>
      <c r="M14" s="9">
        <f t="shared" si="5"/>
        <v>10000</v>
      </c>
      <c r="N14" s="9">
        <f t="shared" si="6"/>
        <v>10000</v>
      </c>
      <c r="O14" s="12">
        <f t="shared" si="7"/>
        <v>0</v>
      </c>
      <c r="R14" s="3"/>
      <c r="S14" s="3"/>
      <c r="T14" s="3"/>
      <c r="U14" s="3"/>
      <c r="V14" s="3"/>
      <c r="W14" s="3"/>
    </row>
    <row r="15" spans="2:23" x14ac:dyDescent="0.3">
      <c r="B15" s="5" t="s">
        <v>31</v>
      </c>
      <c r="C15" s="14">
        <v>500</v>
      </c>
      <c r="D15" s="9">
        <f>C15</f>
        <v>500</v>
      </c>
      <c r="E15" s="5" t="s">
        <v>8</v>
      </c>
      <c r="F15" s="10" t="s">
        <v>24</v>
      </c>
      <c r="G15" s="11" t="s">
        <v>17</v>
      </c>
      <c r="H15" s="9">
        <f t="shared" si="0"/>
        <v>0</v>
      </c>
      <c r="I15" s="9">
        <f t="shared" si="1"/>
        <v>0</v>
      </c>
      <c r="J15" s="12">
        <f t="shared" si="2"/>
        <v>500</v>
      </c>
      <c r="K15" s="12">
        <f t="shared" si="3"/>
        <v>0</v>
      </c>
      <c r="L15" s="12">
        <f t="shared" si="4"/>
        <v>0</v>
      </c>
      <c r="M15" s="9">
        <f t="shared" si="5"/>
        <v>500</v>
      </c>
      <c r="N15" s="9">
        <f t="shared" si="6"/>
        <v>500</v>
      </c>
      <c r="O15" s="12">
        <f t="shared" si="7"/>
        <v>0</v>
      </c>
      <c r="R15" s="3"/>
      <c r="S15" s="3"/>
      <c r="T15" s="3"/>
      <c r="U15" s="3"/>
      <c r="V15" s="3"/>
      <c r="W15" s="3"/>
    </row>
    <row r="16" spans="2:23" x14ac:dyDescent="0.3">
      <c r="B16" s="5" t="s">
        <v>32</v>
      </c>
      <c r="C16" s="8">
        <v>3</v>
      </c>
      <c r="D16" s="9">
        <f>C16*18500</f>
        <v>55500</v>
      </c>
      <c r="E16" s="5" t="s">
        <v>8</v>
      </c>
      <c r="F16" s="10" t="s">
        <v>24</v>
      </c>
      <c r="G16" s="11" t="s">
        <v>17</v>
      </c>
      <c r="H16" s="9">
        <f t="shared" si="0"/>
        <v>0</v>
      </c>
      <c r="I16" s="9">
        <f t="shared" si="1"/>
        <v>0</v>
      </c>
      <c r="J16" s="12">
        <f t="shared" si="2"/>
        <v>55500</v>
      </c>
      <c r="K16" s="12">
        <f t="shared" si="3"/>
        <v>0</v>
      </c>
      <c r="L16" s="12">
        <f t="shared" si="4"/>
        <v>0</v>
      </c>
      <c r="M16" s="9">
        <f t="shared" si="5"/>
        <v>55500</v>
      </c>
      <c r="N16" s="9">
        <f t="shared" si="6"/>
        <v>55500</v>
      </c>
      <c r="O16" s="12">
        <f t="shared" si="7"/>
        <v>0</v>
      </c>
      <c r="R16" s="3"/>
      <c r="S16" s="3"/>
      <c r="T16" s="3"/>
      <c r="U16" s="3"/>
      <c r="V16" s="3"/>
      <c r="W16" s="3"/>
    </row>
    <row r="17" spans="2:23" x14ac:dyDescent="0.3">
      <c r="B17" s="5" t="s">
        <v>33</v>
      </c>
      <c r="C17" s="12">
        <f>63000/12</f>
        <v>5250</v>
      </c>
      <c r="D17" s="9">
        <f>C17</f>
        <v>5250</v>
      </c>
      <c r="E17" s="5" t="s">
        <v>8</v>
      </c>
      <c r="F17" s="10" t="s">
        <v>24</v>
      </c>
      <c r="G17" s="11" t="s">
        <v>17</v>
      </c>
      <c r="H17" s="9">
        <f t="shared" si="0"/>
        <v>0</v>
      </c>
      <c r="I17" s="9">
        <f t="shared" si="1"/>
        <v>0</v>
      </c>
      <c r="J17" s="12">
        <f t="shared" si="2"/>
        <v>5250</v>
      </c>
      <c r="K17" s="12">
        <f t="shared" si="3"/>
        <v>0</v>
      </c>
      <c r="L17" s="12">
        <f t="shared" si="4"/>
        <v>0</v>
      </c>
      <c r="M17" s="9">
        <f t="shared" si="5"/>
        <v>5250</v>
      </c>
      <c r="N17" s="9">
        <f t="shared" si="6"/>
        <v>5250</v>
      </c>
      <c r="O17" s="12">
        <f t="shared" si="7"/>
        <v>0</v>
      </c>
      <c r="R17" s="3"/>
      <c r="S17" s="3"/>
      <c r="T17" s="3"/>
      <c r="U17" s="3"/>
      <c r="V17" s="3"/>
      <c r="W17" s="3"/>
    </row>
    <row r="18" spans="2:23" x14ac:dyDescent="0.3">
      <c r="B18" s="5" t="s">
        <v>34</v>
      </c>
      <c r="C18" s="8">
        <v>1.6</v>
      </c>
      <c r="D18" s="9">
        <f>C18*100000</f>
        <v>160000</v>
      </c>
      <c r="E18" s="5" t="s">
        <v>8</v>
      </c>
      <c r="F18" s="10" t="s">
        <v>24</v>
      </c>
      <c r="G18" s="11" t="s">
        <v>17</v>
      </c>
      <c r="H18" s="9">
        <f t="shared" si="0"/>
        <v>0</v>
      </c>
      <c r="I18" s="9">
        <f t="shared" si="1"/>
        <v>0</v>
      </c>
      <c r="J18" s="12">
        <f t="shared" si="2"/>
        <v>160000</v>
      </c>
      <c r="K18" s="12">
        <f t="shared" si="3"/>
        <v>0</v>
      </c>
      <c r="L18" s="12">
        <f t="shared" si="4"/>
        <v>0</v>
      </c>
      <c r="M18" s="9">
        <f t="shared" si="5"/>
        <v>160000</v>
      </c>
      <c r="N18" s="9">
        <f t="shared" si="6"/>
        <v>160000</v>
      </c>
      <c r="O18" s="12">
        <f t="shared" si="7"/>
        <v>0</v>
      </c>
      <c r="R18" s="3"/>
      <c r="S18" s="3"/>
      <c r="T18" s="3"/>
      <c r="U18" s="3"/>
      <c r="V18" s="3"/>
      <c r="W18" s="3"/>
    </row>
    <row r="19" spans="2:23" x14ac:dyDescent="0.3">
      <c r="B19" s="5" t="s">
        <v>35</v>
      </c>
      <c r="C19" s="8">
        <v>1.3</v>
      </c>
      <c r="D19" s="9">
        <f>C19*100000</f>
        <v>130000</v>
      </c>
      <c r="E19" s="5" t="s">
        <v>8</v>
      </c>
      <c r="F19" s="10" t="s">
        <v>24</v>
      </c>
      <c r="G19" s="11" t="s">
        <v>17</v>
      </c>
      <c r="H19" s="9">
        <f t="shared" si="0"/>
        <v>0</v>
      </c>
      <c r="I19" s="9">
        <f t="shared" si="1"/>
        <v>0</v>
      </c>
      <c r="J19" s="12">
        <f t="shared" si="2"/>
        <v>130000</v>
      </c>
      <c r="K19" s="12">
        <f t="shared" si="3"/>
        <v>0</v>
      </c>
      <c r="L19" s="12">
        <f t="shared" si="4"/>
        <v>0</v>
      </c>
      <c r="M19" s="9">
        <f t="shared" si="5"/>
        <v>130000</v>
      </c>
      <c r="N19" s="9">
        <f t="shared" si="6"/>
        <v>130000</v>
      </c>
      <c r="O19" s="12">
        <f t="shared" si="7"/>
        <v>0</v>
      </c>
      <c r="R19" s="3"/>
      <c r="S19" s="3"/>
      <c r="T19" s="3"/>
      <c r="U19" s="3"/>
      <c r="V19" s="3"/>
      <c r="W19" s="3"/>
    </row>
    <row r="20" spans="2:23" x14ac:dyDescent="0.3">
      <c r="B20" s="5" t="s">
        <v>36</v>
      </c>
      <c r="C20" s="12">
        <f>28/48</f>
        <v>0.58333333333333337</v>
      </c>
      <c r="D20" s="9">
        <f>C20*100000</f>
        <v>58333.333333333336</v>
      </c>
      <c r="E20" s="5" t="s">
        <v>8</v>
      </c>
      <c r="F20" s="10" t="s">
        <v>24</v>
      </c>
      <c r="G20" s="11" t="s">
        <v>17</v>
      </c>
      <c r="H20" s="9">
        <f t="shared" si="0"/>
        <v>0</v>
      </c>
      <c r="I20" s="9">
        <f t="shared" si="1"/>
        <v>0</v>
      </c>
      <c r="J20" s="12">
        <f t="shared" si="2"/>
        <v>58333.333333333336</v>
      </c>
      <c r="K20" s="12">
        <f t="shared" si="3"/>
        <v>0</v>
      </c>
      <c r="L20" s="12">
        <f t="shared" si="4"/>
        <v>0</v>
      </c>
      <c r="M20" s="9">
        <f t="shared" si="5"/>
        <v>58333.333333333336</v>
      </c>
      <c r="N20" s="9">
        <f t="shared" si="6"/>
        <v>58333.333333333336</v>
      </c>
      <c r="O20" s="12">
        <f t="shared" si="7"/>
        <v>0</v>
      </c>
      <c r="R20" s="3"/>
      <c r="S20" s="3"/>
      <c r="T20" s="3"/>
      <c r="U20" s="3"/>
      <c r="V20" s="3"/>
      <c r="W20" s="3"/>
    </row>
    <row r="21" spans="2:23" x14ac:dyDescent="0.3">
      <c r="B21" s="5" t="s">
        <v>37</v>
      </c>
      <c r="C21" s="14">
        <v>2000</v>
      </c>
      <c r="D21" s="9">
        <f>C21</f>
        <v>2000</v>
      </c>
      <c r="E21" s="5" t="s">
        <v>9</v>
      </c>
      <c r="F21" s="10" t="s">
        <v>24</v>
      </c>
      <c r="G21" s="11" t="s">
        <v>21</v>
      </c>
      <c r="H21" s="9">
        <f t="shared" si="0"/>
        <v>0</v>
      </c>
      <c r="I21" s="9">
        <f t="shared" si="1"/>
        <v>0</v>
      </c>
      <c r="J21" s="12">
        <f t="shared" si="2"/>
        <v>0</v>
      </c>
      <c r="K21" s="12">
        <f t="shared" si="3"/>
        <v>2000</v>
      </c>
      <c r="L21" s="12">
        <f t="shared" si="4"/>
        <v>0</v>
      </c>
      <c r="M21" s="9">
        <f t="shared" si="5"/>
        <v>2000</v>
      </c>
      <c r="N21" s="9">
        <f t="shared" si="6"/>
        <v>0</v>
      </c>
      <c r="O21" s="12">
        <f t="shared" si="7"/>
        <v>2000</v>
      </c>
      <c r="R21" s="3"/>
      <c r="S21" s="3"/>
      <c r="T21" s="3"/>
      <c r="U21" s="3"/>
      <c r="V21" s="3"/>
      <c r="W21" s="3"/>
    </row>
    <row r="22" spans="2:23" x14ac:dyDescent="0.3">
      <c r="B22" s="5" t="s">
        <v>38</v>
      </c>
      <c r="C22" s="14">
        <v>1500</v>
      </c>
      <c r="D22" s="9">
        <f>C22</f>
        <v>1500</v>
      </c>
      <c r="E22" s="5" t="s">
        <v>9</v>
      </c>
      <c r="F22" s="10" t="s">
        <v>24</v>
      </c>
      <c r="G22" s="11" t="s">
        <v>21</v>
      </c>
      <c r="H22" s="9">
        <f t="shared" si="0"/>
        <v>0</v>
      </c>
      <c r="I22" s="9">
        <f t="shared" si="1"/>
        <v>0</v>
      </c>
      <c r="J22" s="12">
        <f t="shared" si="2"/>
        <v>0</v>
      </c>
      <c r="K22" s="12">
        <f t="shared" si="3"/>
        <v>1500</v>
      </c>
      <c r="L22" s="12">
        <f t="shared" si="4"/>
        <v>0</v>
      </c>
      <c r="M22" s="9">
        <f t="shared" si="5"/>
        <v>1500</v>
      </c>
      <c r="N22" s="9">
        <f t="shared" si="6"/>
        <v>0</v>
      </c>
      <c r="O22" s="12">
        <f t="shared" si="7"/>
        <v>1500</v>
      </c>
      <c r="R22" s="3"/>
      <c r="S22" s="3"/>
      <c r="T22" s="3"/>
      <c r="U22" s="3"/>
      <c r="V22" s="3"/>
      <c r="W22" s="3"/>
    </row>
    <row r="23" spans="2:23" ht="26.4" x14ac:dyDescent="0.3">
      <c r="B23" s="5" t="s">
        <v>39</v>
      </c>
      <c r="C23" s="14">
        <v>2000</v>
      </c>
      <c r="D23" s="9">
        <f>C23*4</f>
        <v>8000</v>
      </c>
      <c r="E23" s="5" t="s">
        <v>9</v>
      </c>
      <c r="F23" s="10" t="s">
        <v>24</v>
      </c>
      <c r="G23" s="11" t="s">
        <v>21</v>
      </c>
      <c r="H23" s="9">
        <f t="shared" si="0"/>
        <v>0</v>
      </c>
      <c r="I23" s="9">
        <f t="shared" si="1"/>
        <v>0</v>
      </c>
      <c r="J23" s="12">
        <f t="shared" si="2"/>
        <v>0</v>
      </c>
      <c r="K23" s="12">
        <f t="shared" si="3"/>
        <v>8000</v>
      </c>
      <c r="L23" s="12">
        <f t="shared" si="4"/>
        <v>0</v>
      </c>
      <c r="M23" s="9">
        <f t="shared" si="5"/>
        <v>8000</v>
      </c>
      <c r="N23" s="9">
        <f t="shared" si="6"/>
        <v>0</v>
      </c>
      <c r="O23" s="12">
        <f t="shared" si="7"/>
        <v>8000</v>
      </c>
      <c r="R23" s="3"/>
      <c r="S23" s="3"/>
      <c r="T23" s="3"/>
      <c r="U23" s="3"/>
      <c r="V23" s="3"/>
      <c r="W23" s="3"/>
    </row>
    <row r="24" spans="2:23" x14ac:dyDescent="0.3">
      <c r="D24" s="15"/>
      <c r="E24" s="7"/>
      <c r="F24" s="16"/>
      <c r="G24" s="17"/>
      <c r="H24" s="15"/>
      <c r="I24" s="15"/>
      <c r="J24" s="6"/>
      <c r="K24" s="6"/>
      <c r="L24" s="6"/>
      <c r="M24" s="15"/>
      <c r="N24" s="15"/>
      <c r="O24" s="6"/>
      <c r="R24" s="3"/>
      <c r="S24" s="3"/>
      <c r="T24" s="3"/>
      <c r="U24" s="3"/>
      <c r="V24" s="3"/>
      <c r="W24" s="3"/>
    </row>
    <row r="25" spans="2:23" x14ac:dyDescent="0.3">
      <c r="B25" s="18" t="s">
        <v>40</v>
      </c>
      <c r="D25" s="9">
        <f>SUM(D3:D23)</f>
        <v>998843.33333333337</v>
      </c>
      <c r="H25" s="9">
        <f t="shared" ref="H25:O25" si="9">SUM(H3:H23)</f>
        <v>444000</v>
      </c>
      <c r="I25" s="9">
        <f t="shared" si="9"/>
        <v>21760</v>
      </c>
      <c r="J25" s="9">
        <f t="shared" si="9"/>
        <v>487583.33333333331</v>
      </c>
      <c r="K25" s="9">
        <f t="shared" si="9"/>
        <v>45500</v>
      </c>
      <c r="L25" s="9">
        <f t="shared" si="9"/>
        <v>0</v>
      </c>
      <c r="M25" s="9">
        <f t="shared" si="9"/>
        <v>998843.33333333337</v>
      </c>
      <c r="N25" s="9">
        <f t="shared" si="9"/>
        <v>885343.33333333337</v>
      </c>
      <c r="O25" s="9">
        <f t="shared" si="9"/>
        <v>113500</v>
      </c>
      <c r="P25" s="15"/>
      <c r="R25" s="3"/>
      <c r="S25" s="3"/>
      <c r="T25" s="3"/>
      <c r="U25" s="3"/>
      <c r="V25" s="3"/>
      <c r="W25" s="3"/>
    </row>
    <row r="26" spans="2:23" x14ac:dyDescent="0.3">
      <c r="B26" s="27"/>
      <c r="K26" s="19" t="s">
        <v>41</v>
      </c>
      <c r="L26" s="19" t="s">
        <v>41</v>
      </c>
      <c r="M26" s="19" t="s">
        <v>41</v>
      </c>
      <c r="R26" s="3"/>
      <c r="S26" s="3"/>
      <c r="T26" s="3"/>
      <c r="U26" s="3"/>
      <c r="V26" s="3"/>
      <c r="W26" s="3"/>
    </row>
    <row r="27" spans="2:23" x14ac:dyDescent="0.3">
      <c r="R27" s="3"/>
      <c r="S27" s="3"/>
      <c r="T27" s="3"/>
      <c r="U27" s="3"/>
      <c r="V27" s="3"/>
      <c r="W27" s="3"/>
    </row>
    <row r="28" spans="2:23" ht="26.4" x14ac:dyDescent="0.3">
      <c r="B28" s="5" t="s">
        <v>42</v>
      </c>
      <c r="C28" s="12">
        <f>H25</f>
        <v>444000</v>
      </c>
      <c r="D28" s="15"/>
      <c r="I28" s="20" t="s">
        <v>43</v>
      </c>
      <c r="R28" s="3"/>
      <c r="S28" s="3"/>
      <c r="T28" s="3"/>
      <c r="U28" s="3"/>
      <c r="V28" s="3"/>
      <c r="W28" s="3"/>
    </row>
    <row r="29" spans="2:23" x14ac:dyDescent="0.3">
      <c r="B29" s="5" t="s">
        <v>44</v>
      </c>
      <c r="C29" s="12">
        <f>I25+J25</f>
        <v>509343.33333333331</v>
      </c>
      <c r="D29" s="15"/>
      <c r="R29" s="3"/>
      <c r="S29" s="3"/>
      <c r="T29" s="3"/>
      <c r="U29" s="3"/>
      <c r="V29" s="3"/>
      <c r="W29" s="3"/>
    </row>
    <row r="30" spans="2:23" x14ac:dyDescent="0.3">
      <c r="B30" s="5" t="s">
        <v>45</v>
      </c>
      <c r="C30" s="12">
        <f>H25+I25</f>
        <v>465760</v>
      </c>
      <c r="D30" s="15"/>
      <c r="L30" s="5" t="s">
        <v>46</v>
      </c>
      <c r="R30" s="3"/>
      <c r="S30" s="3"/>
      <c r="T30" s="3"/>
      <c r="U30" s="3"/>
      <c r="V30" s="3"/>
      <c r="W30" s="3"/>
    </row>
    <row r="31" spans="2:23" x14ac:dyDescent="0.3">
      <c r="B31" s="5" t="s">
        <v>47</v>
      </c>
      <c r="C31" s="12">
        <f>H25+I25+J25</f>
        <v>953343.33333333326</v>
      </c>
      <c r="D31" s="15"/>
      <c r="I31" s="5" t="s">
        <v>48</v>
      </c>
      <c r="J31" s="9">
        <f>C37</f>
        <v>1488276.5666666667</v>
      </c>
      <c r="K31" s="21"/>
      <c r="L31" s="9">
        <f>J31/$C$38</f>
        <v>14.882765666666666</v>
      </c>
      <c r="R31" s="3"/>
      <c r="S31" s="3"/>
      <c r="T31" s="3"/>
      <c r="U31" s="3"/>
      <c r="V31" s="3"/>
      <c r="W31" s="3"/>
    </row>
    <row r="32" spans="2:23" x14ac:dyDescent="0.3">
      <c r="B32" s="5" t="s">
        <v>49</v>
      </c>
      <c r="C32" s="12">
        <f>K25+L25</f>
        <v>45500</v>
      </c>
      <c r="D32" s="15"/>
      <c r="I32" s="5" t="s">
        <v>50</v>
      </c>
      <c r="J32" s="9">
        <f>N25</f>
        <v>885343.33333333337</v>
      </c>
      <c r="K32" s="22"/>
      <c r="L32" s="9">
        <f>J32/$C$38</f>
        <v>8.8534333333333333</v>
      </c>
      <c r="R32" s="3"/>
      <c r="S32" s="3"/>
      <c r="T32" s="3"/>
      <c r="U32" s="3"/>
      <c r="V32" s="3"/>
      <c r="W32" s="3"/>
    </row>
    <row r="33" spans="1:23" x14ac:dyDescent="0.3">
      <c r="B33" s="18" t="s">
        <v>51</v>
      </c>
      <c r="C33" s="12">
        <f>C31+C32</f>
        <v>998843.33333333326</v>
      </c>
      <c r="D33" s="15"/>
      <c r="E33" s="19" t="s">
        <v>41</v>
      </c>
      <c r="G33" s="19" t="s">
        <v>41</v>
      </c>
      <c r="I33" s="5" t="s">
        <v>52</v>
      </c>
      <c r="J33" s="9">
        <f>J31-J32</f>
        <v>602933.23333333328</v>
      </c>
      <c r="K33" s="22"/>
      <c r="L33" s="9">
        <f>J33/$C$38</f>
        <v>6.0293323333333326</v>
      </c>
      <c r="R33" s="3"/>
      <c r="S33" s="3"/>
      <c r="T33" s="3"/>
      <c r="U33" s="3"/>
      <c r="V33" s="3"/>
      <c r="W33" s="3"/>
    </row>
    <row r="34" spans="1:23" x14ac:dyDescent="0.3">
      <c r="B34" s="5" t="s">
        <v>53</v>
      </c>
      <c r="C34" s="12">
        <f>C33*0.35</f>
        <v>349595.16666666663</v>
      </c>
      <c r="D34" s="15"/>
      <c r="E34" s="15"/>
      <c r="G34" s="19" t="s">
        <v>41</v>
      </c>
      <c r="I34" s="5" t="s">
        <v>54</v>
      </c>
      <c r="J34" s="58">
        <v>100000</v>
      </c>
      <c r="R34" s="3"/>
      <c r="S34" s="3"/>
      <c r="T34" s="3"/>
      <c r="U34" s="3"/>
      <c r="V34" s="3"/>
      <c r="W34" s="3"/>
    </row>
    <row r="35" spans="1:23" x14ac:dyDescent="0.3">
      <c r="B35" s="5" t="s">
        <v>55</v>
      </c>
      <c r="C35" s="12">
        <f>C34*0.3</f>
        <v>104878.54999999999</v>
      </c>
      <c r="D35" s="15"/>
      <c r="R35" s="3"/>
      <c r="S35" s="3"/>
      <c r="T35" s="3"/>
      <c r="U35" s="3"/>
      <c r="V35" s="3"/>
      <c r="W35" s="3"/>
    </row>
    <row r="36" spans="1:23" ht="26.4" x14ac:dyDescent="0.3">
      <c r="B36" s="23" t="s">
        <v>56</v>
      </c>
      <c r="C36" s="12">
        <f>C34*0.1</f>
        <v>34959.516666666663</v>
      </c>
      <c r="D36" s="15"/>
      <c r="I36" s="18" t="s">
        <v>57</v>
      </c>
      <c r="J36" s="9">
        <f>O25</f>
        <v>113500</v>
      </c>
      <c r="K36" s="15"/>
      <c r="L36" s="9">
        <f>J36/J34</f>
        <v>1.135</v>
      </c>
      <c r="R36" s="3"/>
      <c r="S36" s="3"/>
      <c r="T36" s="3"/>
      <c r="U36" s="3"/>
      <c r="V36" s="3"/>
      <c r="W36" s="3"/>
    </row>
    <row r="37" spans="1:23" x14ac:dyDescent="0.3">
      <c r="B37" s="18" t="s">
        <v>58</v>
      </c>
      <c r="C37" s="12">
        <f>SUM(C33:C36)</f>
        <v>1488276.5666666667</v>
      </c>
      <c r="D37" s="15"/>
      <c r="I37" s="5"/>
      <c r="J37" s="21"/>
      <c r="K37" s="15"/>
      <c r="L37" s="15"/>
      <c r="R37" s="3"/>
      <c r="S37" s="3"/>
      <c r="T37" s="3"/>
      <c r="U37" s="3"/>
      <c r="V37" s="3"/>
      <c r="W37" s="3"/>
    </row>
    <row r="38" spans="1:23" x14ac:dyDescent="0.3">
      <c r="B38" s="18" t="s">
        <v>59</v>
      </c>
      <c r="C38" s="57">
        <v>100000</v>
      </c>
      <c r="R38" s="3"/>
      <c r="S38" s="3"/>
      <c r="T38" s="3"/>
      <c r="U38" s="3"/>
      <c r="V38" s="3"/>
      <c r="W38" s="3"/>
    </row>
    <row r="39" spans="1:23" x14ac:dyDescent="0.3">
      <c r="B39" s="5" t="s">
        <v>60</v>
      </c>
      <c r="C39" s="12">
        <f>C37/C38</f>
        <v>14.882765666666666</v>
      </c>
      <c r="D39" s="24"/>
      <c r="I39" s="5" t="s">
        <v>61</v>
      </c>
      <c r="J39" s="25">
        <f>J36/L33</f>
        <v>18824.638239380514</v>
      </c>
      <c r="K39" s="26"/>
      <c r="L39" s="26"/>
      <c r="R39" s="3"/>
      <c r="S39" s="3"/>
      <c r="T39" s="3"/>
      <c r="U39" s="3"/>
      <c r="V39" s="3"/>
      <c r="W39" s="3"/>
    </row>
    <row r="40" spans="1:23" x14ac:dyDescent="0.3">
      <c r="R40" s="3"/>
      <c r="S40" s="3"/>
      <c r="T40" s="3"/>
      <c r="U40" s="3"/>
      <c r="V40" s="3"/>
      <c r="W40" s="3"/>
    </row>
    <row r="41" spans="1:23" x14ac:dyDescent="0.3">
      <c r="B41" s="5" t="s">
        <v>62</v>
      </c>
      <c r="I41" s="5" t="s">
        <v>63</v>
      </c>
      <c r="R41" s="3"/>
      <c r="S41" s="3"/>
      <c r="T41" s="3"/>
      <c r="U41" s="3"/>
      <c r="V41" s="3"/>
      <c r="W41" s="3"/>
    </row>
    <row r="42" spans="1:23" x14ac:dyDescent="0.3">
      <c r="R42" s="3"/>
      <c r="S42" s="3"/>
      <c r="T42" s="3"/>
      <c r="U42" s="3"/>
      <c r="V42" s="3"/>
      <c r="W42" s="3"/>
    </row>
    <row r="43" spans="1:23" x14ac:dyDescent="0.3">
      <c r="B43" s="5" t="s">
        <v>48</v>
      </c>
      <c r="C43" s="12">
        <f>C37</f>
        <v>1488276.5666666667</v>
      </c>
      <c r="D43" s="6"/>
      <c r="E43" s="15"/>
      <c r="I43" s="5" t="s">
        <v>48</v>
      </c>
      <c r="J43" s="9">
        <f>J39*L31</f>
        <v>280162.67967647273</v>
      </c>
      <c r="K43" s="15"/>
      <c r="L43" s="15"/>
      <c r="R43" s="3"/>
      <c r="S43" s="3"/>
      <c r="T43" s="3"/>
      <c r="U43" s="3"/>
      <c r="V43" s="3"/>
      <c r="W43" s="3"/>
    </row>
    <row r="44" spans="1:23" x14ac:dyDescent="0.3">
      <c r="A44" s="5" t="s">
        <v>64</v>
      </c>
      <c r="B44" s="5" t="s">
        <v>65</v>
      </c>
      <c r="C44" s="12">
        <f>C31</f>
        <v>953343.33333333326</v>
      </c>
      <c r="D44" s="15"/>
      <c r="I44" s="5" t="s">
        <v>50</v>
      </c>
      <c r="J44" s="9">
        <f>L32*J39</f>
        <v>166662.67967647276</v>
      </c>
      <c r="L44" s="15"/>
      <c r="R44" s="3"/>
      <c r="S44" s="3"/>
      <c r="T44" s="3"/>
      <c r="U44" s="3"/>
      <c r="V44" s="3"/>
      <c r="W44" s="3"/>
    </row>
    <row r="45" spans="1:23" x14ac:dyDescent="0.3">
      <c r="A45" s="5" t="s">
        <v>66</v>
      </c>
      <c r="B45" s="5" t="s">
        <v>67</v>
      </c>
      <c r="C45" s="12">
        <f>C43-C44</f>
        <v>534933.2333333334</v>
      </c>
      <c r="D45" s="15"/>
      <c r="I45" s="5" t="s">
        <v>52</v>
      </c>
      <c r="J45" s="9">
        <f>J43-J44</f>
        <v>113499.99999999997</v>
      </c>
      <c r="L45" s="15"/>
      <c r="R45" s="3"/>
      <c r="S45" s="3"/>
      <c r="T45" s="3"/>
      <c r="U45" s="3"/>
      <c r="V45" s="3"/>
      <c r="W45" s="3"/>
    </row>
    <row r="46" spans="1:23" x14ac:dyDescent="0.3">
      <c r="A46" s="5" t="s">
        <v>64</v>
      </c>
      <c r="B46" s="5" t="s">
        <v>68</v>
      </c>
      <c r="C46" s="12">
        <f>C32</f>
        <v>45500</v>
      </c>
      <c r="D46" s="15"/>
      <c r="I46" s="5" t="s">
        <v>69</v>
      </c>
      <c r="J46" s="9">
        <f>J36</f>
        <v>113500</v>
      </c>
      <c r="L46" s="15"/>
      <c r="R46" s="3"/>
      <c r="S46" s="3"/>
      <c r="T46" s="3"/>
      <c r="U46" s="3"/>
      <c r="V46" s="3"/>
      <c r="W46" s="3"/>
    </row>
    <row r="47" spans="1:23" x14ac:dyDescent="0.3">
      <c r="A47" s="5" t="s">
        <v>70</v>
      </c>
      <c r="B47" s="5" t="s">
        <v>71</v>
      </c>
      <c r="C47" s="12">
        <f>C45-C46</f>
        <v>489433.2333333334</v>
      </c>
      <c r="D47" s="15"/>
      <c r="E47" s="15"/>
      <c r="I47" s="5" t="s">
        <v>72</v>
      </c>
      <c r="J47" s="9">
        <f>J45-J46</f>
        <v>0</v>
      </c>
      <c r="L47" s="15"/>
      <c r="R47" s="3"/>
      <c r="S47" s="3"/>
      <c r="T47" s="3"/>
      <c r="U47" s="3"/>
      <c r="V47" s="3"/>
      <c r="W47" s="3"/>
    </row>
    <row r="48" spans="1:23" x14ac:dyDescent="0.3">
      <c r="A48" s="5" t="s">
        <v>64</v>
      </c>
      <c r="B48" s="5" t="s">
        <v>73</v>
      </c>
      <c r="C48" s="12">
        <f>C35+C36</f>
        <v>139838.06666666665</v>
      </c>
      <c r="D48" s="15"/>
      <c r="R48" s="3"/>
      <c r="S48" s="3"/>
      <c r="T48" s="3"/>
      <c r="U48" s="3"/>
      <c r="V48" s="3"/>
      <c r="W48" s="3"/>
    </row>
    <row r="49" spans="1:23" x14ac:dyDescent="0.3">
      <c r="A49" s="5" t="s">
        <v>66</v>
      </c>
      <c r="B49" s="5" t="s">
        <v>74</v>
      </c>
      <c r="C49" s="12">
        <f>C47-C48</f>
        <v>349595.16666666674</v>
      </c>
      <c r="D49" s="15"/>
      <c r="E49" s="15"/>
      <c r="R49" s="3"/>
      <c r="S49" s="3"/>
      <c r="T49" s="3"/>
      <c r="U49" s="3"/>
      <c r="V49" s="3"/>
      <c r="W49" s="3"/>
    </row>
    <row r="50" spans="1:23" x14ac:dyDescent="0.3">
      <c r="R50" s="3"/>
      <c r="S50" s="3"/>
      <c r="T50" s="3"/>
      <c r="U50" s="3"/>
      <c r="V50" s="3"/>
      <c r="W50" s="3"/>
    </row>
    <row r="51" spans="1:23" x14ac:dyDescent="0.3">
      <c r="E51" s="15"/>
      <c r="R51" s="3"/>
      <c r="S51" s="3"/>
      <c r="T51" s="3"/>
      <c r="U51" s="3"/>
      <c r="V51" s="3"/>
      <c r="W51" s="3"/>
    </row>
    <row r="52" spans="1:23" x14ac:dyDescent="0.3">
      <c r="R52" s="3"/>
      <c r="S52" s="3"/>
      <c r="T52" s="3"/>
      <c r="U52" s="3"/>
      <c r="V52" s="3"/>
      <c r="W52" s="3"/>
    </row>
    <row r="53" spans="1:23" x14ac:dyDescent="0.3">
      <c r="E53" s="15"/>
      <c r="R53" s="3"/>
      <c r="S53" s="3"/>
      <c r="T53" s="3"/>
      <c r="U53" s="3"/>
      <c r="V53" s="3"/>
      <c r="W53" s="3"/>
    </row>
    <row r="54" spans="1:23" x14ac:dyDescent="0.3">
      <c r="R54" s="3"/>
      <c r="S54" s="3"/>
      <c r="T54" s="3"/>
      <c r="U54" s="3"/>
      <c r="V54" s="3"/>
      <c r="W54" s="3"/>
    </row>
    <row r="55" spans="1:23" x14ac:dyDescent="0.3">
      <c r="R55" s="3"/>
      <c r="S55" s="3"/>
      <c r="T55" s="3"/>
      <c r="U55" s="3"/>
      <c r="V55" s="3"/>
      <c r="W55" s="3"/>
    </row>
    <row r="56" spans="1:23" x14ac:dyDescent="0.3">
      <c r="R56" s="3"/>
      <c r="S56" s="3"/>
      <c r="T56" s="3"/>
      <c r="U56" s="3"/>
      <c r="V56" s="3"/>
      <c r="W56" s="3"/>
    </row>
    <row r="57" spans="1:23" x14ac:dyDescent="0.3">
      <c r="E57" s="5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00"/>
  <sheetViews>
    <sheetView showGridLines="0" tabSelected="1" topLeftCell="A45" zoomScale="90" zoomScaleNormal="90" workbookViewId="0">
      <pane ySplit="1" topLeftCell="A46" activePane="bottomLeft" state="frozen"/>
      <selection pane="bottomLeft" activeCell="D56" sqref="D56"/>
    </sheetView>
  </sheetViews>
  <sheetFormatPr baseColWidth="10" defaultColWidth="6" defaultRowHeight="15.6" x14ac:dyDescent="0.3"/>
  <cols>
    <col min="1" max="1" width="7" style="28" customWidth="1"/>
    <col min="2" max="2" width="50" style="28" customWidth="1"/>
    <col min="3" max="3" width="50" style="28" bestFit="1" customWidth="1"/>
    <col min="4" max="5" width="25" style="28" customWidth="1"/>
    <col min="6" max="6" width="15" style="39" customWidth="1"/>
    <col min="7" max="7" width="6" style="28" bestFit="1" customWidth="1"/>
    <col min="8" max="9" width="6" style="28" customWidth="1"/>
    <col min="10" max="16383" width="6" style="4" customWidth="1"/>
    <col min="16384" max="16384" width="17" style="4" customWidth="1"/>
  </cols>
  <sheetData>
    <row r="1" spans="2:9 16384:16384" x14ac:dyDescent="0.3">
      <c r="B1" s="1" t="s">
        <v>75</v>
      </c>
      <c r="C1" s="1" t="s">
        <v>76</v>
      </c>
      <c r="D1" s="1" t="s">
        <v>77</v>
      </c>
      <c r="E1" s="1" t="s">
        <v>78</v>
      </c>
      <c r="F1" s="29" t="s">
        <v>40</v>
      </c>
    </row>
    <row r="2" spans="2:9 16384:16384" x14ac:dyDescent="0.3">
      <c r="B2" s="30"/>
      <c r="C2" s="30"/>
      <c r="D2" s="10" t="s">
        <v>79</v>
      </c>
      <c r="E2" s="10" t="s">
        <v>80</v>
      </c>
      <c r="F2" s="31"/>
    </row>
    <row r="3" spans="2:9 16384:16384" x14ac:dyDescent="0.3">
      <c r="B3" s="10" t="s">
        <v>81</v>
      </c>
      <c r="C3" s="4"/>
      <c r="D3" s="32">
        <v>100000</v>
      </c>
      <c r="E3" s="32">
        <v>10000</v>
      </c>
      <c r="F3" s="33">
        <f>SUM(D3:E3)</f>
        <v>110000</v>
      </c>
    </row>
    <row r="4" spans="2:9 16384:16384" x14ac:dyDescent="0.3">
      <c r="B4" s="10" t="s">
        <v>82</v>
      </c>
      <c r="C4" s="4"/>
      <c r="D4" s="34">
        <v>444000</v>
      </c>
      <c r="E4" s="34">
        <v>400000</v>
      </c>
      <c r="F4" s="12">
        <f>SUM(D4:E4)</f>
        <v>844000</v>
      </c>
      <c r="H4" s="35"/>
      <c r="I4" s="36"/>
    </row>
    <row r="5" spans="2:9 16384:16384" x14ac:dyDescent="0.3">
      <c r="B5" s="10" t="s">
        <v>83</v>
      </c>
      <c r="C5" s="4"/>
      <c r="D5" s="37">
        <f>[1]PREDETERMINADOS!I25</f>
        <v>21760</v>
      </c>
      <c r="E5" s="37">
        <f>[1]PREDETERMINADOS!I25</f>
        <v>21760</v>
      </c>
      <c r="F5" s="12">
        <f>SUM(D5:E5)</f>
        <v>43520</v>
      </c>
      <c r="H5" s="35"/>
      <c r="I5" s="36"/>
    </row>
    <row r="6" spans="2:9 16384:16384" ht="26.4" x14ac:dyDescent="0.3">
      <c r="B6" s="18" t="s">
        <v>84</v>
      </c>
      <c r="C6" s="38"/>
      <c r="D6" s="39"/>
      <c r="E6" s="39"/>
      <c r="H6" s="35"/>
      <c r="I6" s="36"/>
    </row>
    <row r="7" spans="2:9 16384:16384" x14ac:dyDescent="0.3">
      <c r="B7" s="10" t="s">
        <v>85</v>
      </c>
      <c r="C7" s="12">
        <f>[1]PREDETERMINADOS!D8+[1]PREDETERMINADOS!D9</f>
        <v>36000</v>
      </c>
      <c r="D7" s="39"/>
      <c r="E7" s="39"/>
      <c r="H7" s="35"/>
      <c r="I7" s="36"/>
    </row>
    <row r="8" spans="2:9 16384:16384" x14ac:dyDescent="0.3">
      <c r="B8" s="10" t="s">
        <v>86</v>
      </c>
      <c r="C8" s="12">
        <f>[1]PREDETERMINADOS!D17</f>
        <v>5250</v>
      </c>
      <c r="D8" s="39"/>
      <c r="E8" s="39"/>
      <c r="H8" s="40"/>
      <c r="I8" s="36"/>
    </row>
    <row r="9" spans="2:9 16384:16384" x14ac:dyDescent="0.3">
      <c r="B9" s="10" t="s">
        <v>87</v>
      </c>
      <c r="C9" s="12">
        <f>[1]PREDETERMINADOS!D10+[1]PREDETERMINADOS!D11+[1]PREDETERMINADOS!D12</f>
        <v>32000</v>
      </c>
      <c r="D9" s="39"/>
      <c r="E9" s="39"/>
      <c r="H9" s="40"/>
      <c r="I9" s="36"/>
    </row>
    <row r="10" spans="2:9 16384:16384" x14ac:dyDescent="0.3">
      <c r="B10" s="10" t="s">
        <v>88</v>
      </c>
      <c r="C10" s="12">
        <f>[1]PREDETERMINADOS!D18+[1]PREDETERMINADOS!D19+[1]PREDETERMINADOS!D20</f>
        <v>348333.33333333331</v>
      </c>
      <c r="D10" s="39"/>
      <c r="E10" s="39"/>
      <c r="H10" s="40"/>
      <c r="I10" s="36"/>
    </row>
    <row r="11" spans="2:9 16384:16384" x14ac:dyDescent="0.3">
      <c r="B11" s="10" t="s">
        <v>89</v>
      </c>
      <c r="C11" s="12">
        <f>[1]PREDETERMINADOS!D14+[1]PREDETERMINADOS!D15+[1]PREDETERMINADOS!D16</f>
        <v>66000</v>
      </c>
      <c r="D11" s="39"/>
      <c r="E11" s="39"/>
      <c r="H11" s="40"/>
      <c r="I11" s="36"/>
    </row>
    <row r="12" spans="2:9 16384:16384" x14ac:dyDescent="0.3">
      <c r="B12" s="30"/>
      <c r="C12" s="38"/>
      <c r="D12" s="39"/>
      <c r="E12" s="39"/>
    </row>
    <row r="13" spans="2:9 16384:16384" x14ac:dyDescent="0.3">
      <c r="B13" s="10" t="s">
        <v>90</v>
      </c>
      <c r="C13" s="12">
        <f>SUM(C7:C12)</f>
        <v>487583.33333333331</v>
      </c>
      <c r="D13" s="39"/>
      <c r="E13" s="39"/>
      <c r="XFD13" s="9">
        <f>SUM(C13:XFC13)</f>
        <v>487583.33333333331</v>
      </c>
    </row>
    <row r="14" spans="2:9 16384:16384" x14ac:dyDescent="0.3">
      <c r="B14" s="30"/>
      <c r="C14" s="38"/>
      <c r="D14" s="39"/>
      <c r="E14" s="39"/>
      <c r="XFD14" s="41"/>
    </row>
    <row r="15" spans="2:9 16384:16384" ht="26.4" x14ac:dyDescent="0.3">
      <c r="B15" s="10" t="s">
        <v>91</v>
      </c>
      <c r="C15" s="38"/>
      <c r="D15" s="39"/>
      <c r="E15" s="39"/>
    </row>
    <row r="16" spans="2:9 16384:16384" x14ac:dyDescent="0.3">
      <c r="B16" s="18" t="str">
        <f>B6</f>
        <v>TOTAL DE GASTOS INDIRECTOS DE FABRICACION (GIF)</v>
      </c>
      <c r="C16" s="12">
        <f>+C13</f>
        <v>487583.33333333331</v>
      </c>
      <c r="D16" s="39"/>
      <c r="E16" s="39"/>
      <c r="XFD16" s="9">
        <f>SUM(C16:XFC16)</f>
        <v>487583.33333333331</v>
      </c>
    </row>
    <row r="17" spans="1:8" x14ac:dyDescent="0.3">
      <c r="A17" s="10" t="s">
        <v>92</v>
      </c>
      <c r="B17" s="10" t="s">
        <v>81</v>
      </c>
      <c r="C17" s="42">
        <f>F3</f>
        <v>110000</v>
      </c>
      <c r="D17" s="39"/>
      <c r="E17" s="39"/>
    </row>
    <row r="18" spans="1:8" x14ac:dyDescent="0.3">
      <c r="A18" s="10" t="s">
        <v>66</v>
      </c>
      <c r="B18" s="10" t="s">
        <v>93</v>
      </c>
      <c r="C18" s="43">
        <f>C16/C17</f>
        <v>4.4325757575757576</v>
      </c>
      <c r="D18" s="39"/>
      <c r="E18" s="39"/>
    </row>
    <row r="19" spans="1:8" x14ac:dyDescent="0.3">
      <c r="C19" s="38"/>
      <c r="D19" s="39"/>
      <c r="E19" s="39"/>
    </row>
    <row r="20" spans="1:8" x14ac:dyDescent="0.3">
      <c r="B20" s="30"/>
      <c r="C20" s="38"/>
      <c r="D20" s="39"/>
      <c r="E20" s="39"/>
    </row>
    <row r="21" spans="1:8" ht="39.6" x14ac:dyDescent="0.3">
      <c r="B21" s="18" t="s">
        <v>94</v>
      </c>
      <c r="C21" s="38"/>
      <c r="D21" s="39"/>
      <c r="E21" s="39"/>
      <c r="H21" s="10" t="s">
        <v>41</v>
      </c>
    </row>
    <row r="22" spans="1:8" x14ac:dyDescent="0.3">
      <c r="B22" s="30"/>
      <c r="C22" s="38"/>
      <c r="D22" s="37" t="str">
        <f>D2</f>
        <v>VASO DE FRUTA</v>
      </c>
      <c r="E22" s="37" t="str">
        <f>E2</f>
        <v xml:space="preserve">MIX 1KG BERRIES </v>
      </c>
      <c r="F22" s="37" t="s">
        <v>11</v>
      </c>
      <c r="H22" s="10" t="s">
        <v>41</v>
      </c>
    </row>
    <row r="23" spans="1:8" x14ac:dyDescent="0.3">
      <c r="B23" s="18" t="str">
        <f>B17</f>
        <v>UNIDADES PRODUCIDAS</v>
      </c>
      <c r="C23" s="38"/>
      <c r="D23" s="18">
        <f>D3</f>
        <v>100000</v>
      </c>
      <c r="E23" s="18">
        <f>E3</f>
        <v>10000</v>
      </c>
      <c r="F23" s="37">
        <f>SUM(D23:E23)</f>
        <v>110000</v>
      </c>
      <c r="H23" s="10" t="s">
        <v>41</v>
      </c>
    </row>
    <row r="24" spans="1:8" x14ac:dyDescent="0.3">
      <c r="A24" s="10" t="s">
        <v>95</v>
      </c>
      <c r="B24" s="18" t="str">
        <f>B18</f>
        <v>COEFICIENTE DE COSTOS O GASTOS INDIRECTOS</v>
      </c>
      <c r="C24" s="38"/>
      <c r="D24" s="44">
        <f>C18</f>
        <v>4.4325757575757576</v>
      </c>
      <c r="E24" s="44">
        <f>C18</f>
        <v>4.4325757575757576</v>
      </c>
      <c r="F24" s="45" t="s">
        <v>41</v>
      </c>
    </row>
    <row r="25" spans="1:8" x14ac:dyDescent="0.3">
      <c r="A25" s="10" t="s">
        <v>66</v>
      </c>
      <c r="B25" s="10" t="s">
        <v>96</v>
      </c>
      <c r="C25" s="38"/>
      <c r="D25" s="37">
        <f>D23*D24</f>
        <v>443257.57575757575</v>
      </c>
      <c r="E25" s="37">
        <f>E23*E24</f>
        <v>44325.757575757576</v>
      </c>
      <c r="F25" s="12">
        <f>SUM(D25:E25)</f>
        <v>487583.33333333331</v>
      </c>
    </row>
    <row r="26" spans="1:8" x14ac:dyDescent="0.3">
      <c r="B26" s="30"/>
      <c r="C26" s="38"/>
      <c r="D26" s="46" t="s">
        <v>41</v>
      </c>
      <c r="E26" s="46" t="s">
        <v>41</v>
      </c>
      <c r="F26" s="46" t="s">
        <v>41</v>
      </c>
    </row>
    <row r="27" spans="1:8" x14ac:dyDescent="0.3">
      <c r="B27" s="18" t="s">
        <v>97</v>
      </c>
      <c r="C27" s="38"/>
      <c r="D27" s="37" t="str">
        <f>D22</f>
        <v>VASO DE FRUTA</v>
      </c>
      <c r="E27" s="37" t="str">
        <f>E22</f>
        <v xml:space="preserve">MIX 1KG BERRIES </v>
      </c>
      <c r="F27" s="37" t="s">
        <v>11</v>
      </c>
    </row>
    <row r="28" spans="1:8" x14ac:dyDescent="0.3">
      <c r="B28" s="10" t="s">
        <v>6</v>
      </c>
      <c r="C28" s="38"/>
      <c r="D28" s="12">
        <f t="shared" ref="D28:F29" si="0">D4</f>
        <v>444000</v>
      </c>
      <c r="E28" s="12">
        <f t="shared" si="0"/>
        <v>400000</v>
      </c>
      <c r="F28" s="12">
        <f t="shared" si="0"/>
        <v>844000</v>
      </c>
    </row>
    <row r="29" spans="1:8" x14ac:dyDescent="0.3">
      <c r="B29" s="10" t="s">
        <v>7</v>
      </c>
      <c r="C29" s="38"/>
      <c r="D29" s="12">
        <f t="shared" si="0"/>
        <v>21760</v>
      </c>
      <c r="E29" s="12">
        <f t="shared" si="0"/>
        <v>21760</v>
      </c>
      <c r="F29" s="12">
        <f t="shared" si="0"/>
        <v>43520</v>
      </c>
    </row>
    <row r="30" spans="1:8" x14ac:dyDescent="0.3">
      <c r="B30" s="10" t="s">
        <v>98</v>
      </c>
      <c r="C30" s="38"/>
      <c r="D30" s="12">
        <f>D25</f>
        <v>443257.57575757575</v>
      </c>
      <c r="E30" s="12">
        <f>E25</f>
        <v>44325.757575757576</v>
      </c>
      <c r="F30" s="12">
        <f>F25</f>
        <v>487583.33333333331</v>
      </c>
      <c r="H30" s="41"/>
    </row>
    <row r="31" spans="1:8" x14ac:dyDescent="0.3">
      <c r="B31" s="18" t="s">
        <v>99</v>
      </c>
      <c r="C31" s="47"/>
      <c r="D31" s="37">
        <f>SUM(D28:D30)</f>
        <v>909017.57575757569</v>
      </c>
      <c r="E31" s="37">
        <f>SUM(E28:E30)</f>
        <v>466085.75757575757</v>
      </c>
      <c r="F31" s="37">
        <f>SUM(F28:F30)</f>
        <v>1375103.3333333333</v>
      </c>
    </row>
    <row r="32" spans="1:8" x14ac:dyDescent="0.3">
      <c r="B32" s="30"/>
      <c r="C32" s="47"/>
      <c r="D32" s="39"/>
      <c r="E32" s="39"/>
    </row>
    <row r="33" spans="1:6" x14ac:dyDescent="0.3">
      <c r="B33" s="18" t="s">
        <v>100</v>
      </c>
      <c r="C33" s="47"/>
      <c r="D33" s="39"/>
      <c r="E33" s="39"/>
    </row>
    <row r="34" spans="1:6" x14ac:dyDescent="0.3">
      <c r="B34" s="10" t="s">
        <v>101</v>
      </c>
      <c r="C34" s="12">
        <f>[1]PREDETERMINADOS!K6+[1]PREDETERMINADOS!K7</f>
        <v>32000</v>
      </c>
      <c r="D34" s="39"/>
      <c r="E34" s="39"/>
    </row>
    <row r="35" spans="1:6" x14ac:dyDescent="0.3">
      <c r="B35" s="10" t="s">
        <v>102</v>
      </c>
      <c r="C35" s="12">
        <f>[1]PREDETERMINADOS!D21+[1]PREDETERMINADOS!D22+[1]PREDETERMINADOS!D23</f>
        <v>11500</v>
      </c>
      <c r="D35" s="39"/>
      <c r="E35" s="39"/>
    </row>
    <row r="36" spans="1:6" x14ac:dyDescent="0.3">
      <c r="B36" s="10" t="s">
        <v>103</v>
      </c>
      <c r="C36" s="12">
        <f>[1]PREDETERMINADOS!D13</f>
        <v>2000</v>
      </c>
      <c r="D36" s="39"/>
      <c r="E36" s="39"/>
    </row>
    <row r="37" spans="1:6" x14ac:dyDescent="0.3">
      <c r="B37" s="10" t="s">
        <v>90</v>
      </c>
      <c r="C37" s="12">
        <f>SUM(C34:C36)</f>
        <v>45500</v>
      </c>
      <c r="D37" s="39"/>
      <c r="E37" s="39"/>
    </row>
    <row r="38" spans="1:6" x14ac:dyDescent="0.3">
      <c r="B38" s="30"/>
      <c r="C38" s="38"/>
      <c r="D38" s="39"/>
      <c r="E38" s="39"/>
    </row>
    <row r="39" spans="1:6" ht="26.4" x14ac:dyDescent="0.3">
      <c r="B39" s="10" t="s">
        <v>104</v>
      </c>
      <c r="C39" s="48"/>
      <c r="D39" s="39"/>
      <c r="E39" s="39"/>
    </row>
    <row r="40" spans="1:6" x14ac:dyDescent="0.3">
      <c r="A40" s="10" t="s">
        <v>92</v>
      </c>
      <c r="B40" s="18" t="str">
        <f>B33</f>
        <v>TOTAL DE GASTOS DE OPERACIÓN</v>
      </c>
      <c r="C40" s="12">
        <f>C37</f>
        <v>45500</v>
      </c>
      <c r="D40" s="39"/>
      <c r="E40" s="39"/>
    </row>
    <row r="41" spans="1:6" x14ac:dyDescent="0.3">
      <c r="A41" s="10" t="s">
        <v>66</v>
      </c>
      <c r="B41" s="10" t="s">
        <v>81</v>
      </c>
      <c r="C41" s="49">
        <f>F3</f>
        <v>110000</v>
      </c>
      <c r="D41" s="39"/>
      <c r="E41" s="39"/>
    </row>
    <row r="42" spans="1:6" x14ac:dyDescent="0.3">
      <c r="A42" s="10" t="s">
        <v>92</v>
      </c>
      <c r="B42" s="10" t="s">
        <v>105</v>
      </c>
      <c r="C42" s="50">
        <f>C40/C41</f>
        <v>0.41363636363636364</v>
      </c>
      <c r="D42" s="39"/>
      <c r="E42" s="39"/>
    </row>
    <row r="43" spans="1:6" x14ac:dyDescent="0.3">
      <c r="B43" s="30"/>
      <c r="C43" s="47"/>
      <c r="D43" s="37" t="str">
        <f>D27</f>
        <v>VASO DE FRUTA</v>
      </c>
      <c r="E43" s="37" t="str">
        <f>E27</f>
        <v xml:space="preserve">MIX 1KG BERRIES </v>
      </c>
      <c r="F43" s="37" t="s">
        <v>11</v>
      </c>
    </row>
    <row r="44" spans="1:6" x14ac:dyDescent="0.3">
      <c r="B44" s="18" t="s">
        <v>106</v>
      </c>
      <c r="C44" s="47"/>
      <c r="D44" s="37">
        <f>C42*D3</f>
        <v>41363.63636363636</v>
      </c>
      <c r="E44" s="37">
        <f>C42*E3</f>
        <v>4136.363636363636</v>
      </c>
      <c r="F44" s="12">
        <f>SUM(D44:E44)</f>
        <v>45500</v>
      </c>
    </row>
    <row r="45" spans="1:6" x14ac:dyDescent="0.3">
      <c r="B45" s="18" t="s">
        <v>51</v>
      </c>
      <c r="C45" s="47"/>
      <c r="D45" s="37">
        <f>D31+D44</f>
        <v>950381.21212121204</v>
      </c>
      <c r="E45" s="37">
        <f>E31+E44</f>
        <v>470222.12121212122</v>
      </c>
      <c r="F45" s="12">
        <f>SUM(D45:E45)</f>
        <v>1420603.3333333333</v>
      </c>
    </row>
    <row r="46" spans="1:6" x14ac:dyDescent="0.3">
      <c r="B46" s="18" t="str">
        <f>B3</f>
        <v>UNIDADES PRODUCIDAS</v>
      </c>
      <c r="C46" s="47"/>
      <c r="D46" s="51">
        <f>D3</f>
        <v>100000</v>
      </c>
      <c r="E46" s="51">
        <f>E3</f>
        <v>10000</v>
      </c>
      <c r="F46" s="37">
        <f>SUM(D46:E46)</f>
        <v>110000</v>
      </c>
    </row>
    <row r="47" spans="1:6" x14ac:dyDescent="0.3">
      <c r="B47" s="10" t="s">
        <v>107</v>
      </c>
      <c r="C47" s="4"/>
      <c r="D47" s="12">
        <f>D45/D46</f>
        <v>9.5038121212121212</v>
      </c>
      <c r="E47" s="12">
        <f>E45/E46</f>
        <v>47.022212121212121</v>
      </c>
    </row>
    <row r="48" spans="1:6" x14ac:dyDescent="0.3">
      <c r="B48" s="52"/>
      <c r="C48" s="4"/>
      <c r="D48" s="39"/>
      <c r="E48" s="39"/>
    </row>
    <row r="49" spans="2:6" x14ac:dyDescent="0.3">
      <c r="B49" s="10" t="s">
        <v>108</v>
      </c>
      <c r="C49" s="9">
        <f>D28+D29</f>
        <v>465760</v>
      </c>
      <c r="D49" s="9">
        <f>E28+E29</f>
        <v>421760</v>
      </c>
      <c r="E49" s="53"/>
    </row>
    <row r="50" spans="2:6" x14ac:dyDescent="0.3">
      <c r="B50" s="10" t="s">
        <v>109</v>
      </c>
      <c r="C50" s="9">
        <f>D29+D30</f>
        <v>465017.57575757575</v>
      </c>
      <c r="D50" s="9">
        <f>E29+E30</f>
        <v>66085.757575757569</v>
      </c>
      <c r="E50" s="53"/>
    </row>
    <row r="51" spans="2:6" x14ac:dyDescent="0.3">
      <c r="B51" s="10" t="s">
        <v>110</v>
      </c>
      <c r="C51" s="54">
        <f t="array" ref="C51:D51">D31:E31</f>
        <v>909017.57575757569</v>
      </c>
      <c r="D51" s="55">
        <v>466085.75757575757</v>
      </c>
      <c r="E51" s="53"/>
    </row>
    <row r="52" spans="2:6" x14ac:dyDescent="0.3">
      <c r="B52" s="10" t="s">
        <v>111</v>
      </c>
      <c r="C52" s="12">
        <f>D44</f>
        <v>41363.63636363636</v>
      </c>
      <c r="D52" s="12">
        <f>E44</f>
        <v>4136.363636363636</v>
      </c>
      <c r="E52" s="53"/>
    </row>
    <row r="53" spans="2:6" x14ac:dyDescent="0.3">
      <c r="B53" s="18" t="s">
        <v>112</v>
      </c>
      <c r="C53" s="12">
        <f>C52+C51</f>
        <v>950381.21212121204</v>
      </c>
      <c r="D53" s="12">
        <f>D52+D51</f>
        <v>470222.12121212122</v>
      </c>
      <c r="E53" s="53"/>
    </row>
    <row r="54" spans="2:6" x14ac:dyDescent="0.3">
      <c r="B54" s="10" t="s">
        <v>113</v>
      </c>
      <c r="C54" s="12">
        <f>C53*0.35</f>
        <v>332633.4242424242</v>
      </c>
      <c r="D54" s="12">
        <f>D53*0.35</f>
        <v>164577.7424242424</v>
      </c>
      <c r="E54" s="53"/>
    </row>
    <row r="55" spans="2:6" x14ac:dyDescent="0.3">
      <c r="B55" s="18" t="s">
        <v>114</v>
      </c>
      <c r="C55" s="12">
        <f>C54+C53</f>
        <v>1283014.6363636362</v>
      </c>
      <c r="D55" s="12">
        <f>D54+D53</f>
        <v>634799.86363636365</v>
      </c>
      <c r="E55" s="53"/>
    </row>
    <row r="56" spans="2:6" x14ac:dyDescent="0.3">
      <c r="B56" s="10" t="s">
        <v>81</v>
      </c>
      <c r="C56" s="18">
        <f>D3</f>
        <v>100000</v>
      </c>
      <c r="D56" s="18">
        <f>E3</f>
        <v>10000</v>
      </c>
      <c r="E56" s="53"/>
    </row>
    <row r="57" spans="2:6" x14ac:dyDescent="0.3">
      <c r="B57" s="10" t="s">
        <v>115</v>
      </c>
      <c r="C57" s="56">
        <f>C55/C56</f>
        <v>12.830146363636363</v>
      </c>
      <c r="D57" s="56">
        <f>D55/D56</f>
        <v>63.479986363636364</v>
      </c>
      <c r="E57" s="53"/>
    </row>
    <row r="58" spans="2:6" x14ac:dyDescent="0.3">
      <c r="B58" s="4"/>
      <c r="C58" s="4"/>
      <c r="D58" s="53"/>
      <c r="E58" s="53"/>
    </row>
    <row r="59" spans="2:6" x14ac:dyDescent="0.3">
      <c r="B59" s="10" t="s">
        <v>116</v>
      </c>
      <c r="C59" s="4"/>
      <c r="D59" s="53"/>
      <c r="E59" s="53"/>
    </row>
    <row r="60" spans="2:6" x14ac:dyDescent="0.3">
      <c r="B60" s="10" t="s">
        <v>117</v>
      </c>
      <c r="C60" s="12">
        <f>C55</f>
        <v>1283014.6363636362</v>
      </c>
      <c r="D60" s="12">
        <f>D55</f>
        <v>634799.86363636365</v>
      </c>
      <c r="E60" s="12">
        <f>SUM(C60:D60)</f>
        <v>1917814.5</v>
      </c>
      <c r="F60" s="38"/>
    </row>
    <row r="61" spans="2:6" x14ac:dyDescent="0.3">
      <c r="B61" s="18" t="s">
        <v>118</v>
      </c>
      <c r="C61" s="12">
        <f>D31</f>
        <v>909017.57575757569</v>
      </c>
      <c r="D61" s="12">
        <f>E31</f>
        <v>466085.75757575757</v>
      </c>
      <c r="E61" s="12">
        <f>SUM(C61:D61)</f>
        <v>1375103.3333333333</v>
      </c>
      <c r="F61" s="38"/>
    </row>
    <row r="62" spans="2:6" x14ac:dyDescent="0.3">
      <c r="B62" s="18" t="s">
        <v>119</v>
      </c>
      <c r="C62" s="12">
        <f>C60-C61</f>
        <v>373997.06060606055</v>
      </c>
      <c r="D62" s="12">
        <f>D60-D61</f>
        <v>168714.10606060608</v>
      </c>
      <c r="E62" s="12">
        <f>SUM(C62:D62)</f>
        <v>542711.16666666663</v>
      </c>
      <c r="F62" s="38"/>
    </row>
    <row r="63" spans="2:6" x14ac:dyDescent="0.3">
      <c r="B63" s="18" t="s">
        <v>120</v>
      </c>
      <c r="C63" s="12">
        <f>D44</f>
        <v>41363.63636363636</v>
      </c>
      <c r="D63" s="12">
        <f>E44</f>
        <v>4136.363636363636</v>
      </c>
      <c r="E63" s="12">
        <f>SUM(C63:D63)</f>
        <v>45500</v>
      </c>
      <c r="F63" s="38"/>
    </row>
    <row r="64" spans="2:6" x14ac:dyDescent="0.3">
      <c r="B64" s="18" t="s">
        <v>121</v>
      </c>
      <c r="C64" s="12">
        <f>C62-C63</f>
        <v>332633.4242424242</v>
      </c>
      <c r="D64" s="12">
        <f>D62-D63</f>
        <v>164577.74242424243</v>
      </c>
      <c r="E64" s="12">
        <f>SUM(C64:D64)</f>
        <v>497211.16666666663</v>
      </c>
      <c r="F64" s="38"/>
    </row>
    <row r="65" spans="3:5" x14ac:dyDescent="0.3">
      <c r="C65" s="4"/>
      <c r="D65" s="4"/>
      <c r="E65" s="4"/>
    </row>
    <row r="66" spans="3:5" x14ac:dyDescent="0.3">
      <c r="C66" s="4"/>
      <c r="D66" s="4"/>
      <c r="E66" s="4"/>
    </row>
    <row r="67" spans="3:5" x14ac:dyDescent="0.3">
      <c r="C67" s="4"/>
      <c r="D67" s="4"/>
      <c r="E67" s="4"/>
    </row>
    <row r="68" spans="3:5" x14ac:dyDescent="0.3">
      <c r="C68" s="4"/>
      <c r="D68" s="4"/>
      <c r="E68" s="4"/>
    </row>
    <row r="69" spans="3:5" x14ac:dyDescent="0.3">
      <c r="C69" s="4"/>
      <c r="D69" s="4"/>
      <c r="E69" s="4"/>
    </row>
    <row r="70" spans="3:5" x14ac:dyDescent="0.3">
      <c r="C70" s="4"/>
      <c r="D70" s="4"/>
      <c r="E70" s="4"/>
    </row>
    <row r="71" spans="3:5" x14ac:dyDescent="0.3">
      <c r="C71" s="4"/>
      <c r="D71" s="4"/>
      <c r="E71" s="4"/>
    </row>
    <row r="72" spans="3:5" x14ac:dyDescent="0.3">
      <c r="C72" s="4"/>
      <c r="D72" s="4"/>
      <c r="E72" s="4"/>
    </row>
    <row r="73" spans="3:5" x14ac:dyDescent="0.3">
      <c r="C73" s="4"/>
      <c r="D73" s="4"/>
      <c r="E73" s="4"/>
    </row>
    <row r="74" spans="3:5" x14ac:dyDescent="0.3">
      <c r="C74" s="4"/>
      <c r="D74" s="4"/>
      <c r="E74" s="4"/>
    </row>
    <row r="75" spans="3:5" x14ac:dyDescent="0.3">
      <c r="C75" s="4"/>
      <c r="D75" s="4"/>
      <c r="E75" s="4"/>
    </row>
    <row r="76" spans="3:5" x14ac:dyDescent="0.3">
      <c r="C76" s="4"/>
      <c r="D76" s="4"/>
      <c r="E76" s="4"/>
    </row>
    <row r="77" spans="3:5" x14ac:dyDescent="0.3">
      <c r="C77" s="4"/>
      <c r="D77" s="4"/>
      <c r="E77" s="4"/>
    </row>
    <row r="78" spans="3:5" x14ac:dyDescent="0.3">
      <c r="C78" s="4"/>
      <c r="D78" s="4"/>
      <c r="E78" s="4"/>
    </row>
    <row r="79" spans="3:5" x14ac:dyDescent="0.3">
      <c r="C79" s="4"/>
      <c r="D79" s="4"/>
      <c r="E79" s="4"/>
    </row>
    <row r="80" spans="3:5" x14ac:dyDescent="0.3">
      <c r="C80" s="4"/>
      <c r="D80" s="4"/>
      <c r="E80" s="4"/>
    </row>
    <row r="81" spans="3:5" x14ac:dyDescent="0.3">
      <c r="C81" s="4"/>
      <c r="D81" s="4"/>
      <c r="E81" s="4"/>
    </row>
    <row r="82" spans="3:5" x14ac:dyDescent="0.3">
      <c r="C82" s="4"/>
      <c r="D82" s="4"/>
      <c r="E82" s="4"/>
    </row>
    <row r="83" spans="3:5" x14ac:dyDescent="0.3">
      <c r="C83" s="4"/>
      <c r="D83" s="4"/>
      <c r="E83" s="4"/>
    </row>
    <row r="84" spans="3:5" x14ac:dyDescent="0.3">
      <c r="C84" s="4"/>
      <c r="D84" s="4"/>
      <c r="E84" s="4"/>
    </row>
    <row r="85" spans="3:5" x14ac:dyDescent="0.3">
      <c r="C85" s="4"/>
      <c r="D85" s="4"/>
      <c r="E85" s="4"/>
    </row>
    <row r="86" spans="3:5" x14ac:dyDescent="0.3">
      <c r="C86" s="4"/>
      <c r="D86" s="4"/>
      <c r="E86" s="4"/>
    </row>
    <row r="87" spans="3:5" x14ac:dyDescent="0.3">
      <c r="C87" s="4"/>
      <c r="D87" s="4"/>
      <c r="E87" s="4"/>
    </row>
    <row r="88" spans="3:5" x14ac:dyDescent="0.3">
      <c r="C88" s="4"/>
      <c r="D88" s="4"/>
      <c r="E88" s="4"/>
    </row>
    <row r="89" spans="3:5" x14ac:dyDescent="0.3">
      <c r="C89" s="4"/>
      <c r="D89" s="4"/>
      <c r="E89" s="4"/>
    </row>
    <row r="90" spans="3:5" x14ac:dyDescent="0.3">
      <c r="C90" s="4"/>
      <c r="D90" s="4"/>
      <c r="E90" s="4"/>
    </row>
    <row r="91" spans="3:5" x14ac:dyDescent="0.3">
      <c r="C91" s="4"/>
      <c r="D91" s="4"/>
      <c r="E91" s="4"/>
    </row>
    <row r="92" spans="3:5" x14ac:dyDescent="0.3">
      <c r="C92" s="4"/>
      <c r="D92" s="4"/>
      <c r="E92" s="4"/>
    </row>
    <row r="93" spans="3:5" x14ac:dyDescent="0.3">
      <c r="C93" s="4"/>
      <c r="D93" s="4"/>
      <c r="E93" s="4"/>
    </row>
    <row r="94" spans="3:5" x14ac:dyDescent="0.3">
      <c r="C94" s="4"/>
      <c r="D94" s="4"/>
      <c r="E94" s="4"/>
    </row>
    <row r="95" spans="3:5" x14ac:dyDescent="0.3">
      <c r="C95" s="4"/>
      <c r="D95" s="4"/>
      <c r="E95" s="4"/>
    </row>
    <row r="96" spans="3:5" x14ac:dyDescent="0.3">
      <c r="C96" s="4"/>
      <c r="D96" s="4"/>
      <c r="E96" s="4"/>
    </row>
    <row r="97" spans="3:5" x14ac:dyDescent="0.3">
      <c r="C97" s="4"/>
      <c r="D97" s="4"/>
      <c r="E97" s="4"/>
    </row>
    <row r="98" spans="3:5" x14ac:dyDescent="0.3">
      <c r="C98" s="4"/>
      <c r="D98" s="4"/>
      <c r="E98" s="4"/>
    </row>
    <row r="99" spans="3:5" x14ac:dyDescent="0.3">
      <c r="D99" s="4"/>
      <c r="E99" s="4"/>
    </row>
    <row r="100" spans="3:5" x14ac:dyDescent="0.3">
      <c r="D100" s="4"/>
      <c r="E100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PREDETERMINADOS</vt:lpstr>
      <vt:lpstr>PRORRATEO PRIMARIO ESTIMADO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ALVARADO GARNICA, LUIS CARLOS</dc:creator>
  <cp:lastModifiedBy>ALVARADO GARNICA, LUIS CARLOS</cp:lastModifiedBy>
  <dcterms:created xsi:type="dcterms:W3CDTF">2026-06-27T03:53:48Z</dcterms:created>
  <dcterms:modified xsi:type="dcterms:W3CDTF">2026-06-27T05:32:29Z</dcterms:modified>
</cp:coreProperties>
</file>