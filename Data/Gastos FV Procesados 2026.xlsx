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ll\OneDrive\Documentos\Clases ITESO\PAP\V2026\Data\"/>
    </mc:Choice>
  </mc:AlternateContent>
  <xr:revisionPtr revIDLastSave="0" documentId="13_ncr:1_{6A0F1467-5A20-49E1-AB0F-B0C4CD6C25E6}" xr6:coauthVersionLast="47" xr6:coauthVersionMax="47" xr10:uidLastSave="{00000000-0000-0000-0000-000000000000}"/>
  <bookViews>
    <workbookView xWindow="-108" yWindow="-108" windowWidth="23256" windowHeight="12456" xr2:uid="{DF9A63DF-E529-40FE-86C2-2327F6538A3C}"/>
  </bookViews>
  <sheets>
    <sheet name="25 30 Mayo" sheetId="30" r:id="rId1"/>
    <sheet name="18 23 Mayo" sheetId="29" r:id="rId2"/>
    <sheet name="11 16 Mayo" sheetId="28" r:id="rId3"/>
    <sheet name="04 09 Mayo" sheetId="27" r:id="rId4"/>
    <sheet name="27 Abril 02 Mayo" sheetId="26" r:id="rId5"/>
    <sheet name="20 25 Abril" sheetId="25" r:id="rId6"/>
    <sheet name="13 18 Abril" sheetId="24" r:id="rId7"/>
    <sheet name="06 11 Abril" sheetId="23" r:id="rId8"/>
    <sheet name="30 Mar 04 Abril" sheetId="22" r:id="rId9"/>
    <sheet name="23 28 Mar" sheetId="21" r:id="rId10"/>
    <sheet name="16 21 Mar" sheetId="19" r:id="rId11"/>
    <sheet name="09-14 Mar" sheetId="20" r:id="rId12"/>
    <sheet name="02 07 Mar" sheetId="18" r:id="rId13"/>
    <sheet name="23 28 Feb" sheetId="17" r:id="rId14"/>
    <sheet name="16 21 Feb" sheetId="16" r:id="rId15"/>
    <sheet name="09 14 Feb" sheetId="15" r:id="rId16"/>
    <sheet name="01 07 Feb" sheetId="14" r:id="rId17"/>
    <sheet name="26 31 Ene" sheetId="13" r:id="rId18"/>
    <sheet name="19 24 Ene" sheetId="12" r:id="rId19"/>
    <sheet name="11 17 Ene" sheetId="11" r:id="rId20"/>
    <sheet name="05 10 Ene" sheetId="10" r:id="rId21"/>
    <sheet name="29 Dic 03 Ene" sheetId="9" r:id="rId22"/>
    <sheet name="21-27 Dic" sheetId="8" r:id="rId23"/>
    <sheet name="15-20 Dic" sheetId="7" r:id="rId24"/>
    <sheet name="08-13 Dic" sheetId="6" r:id="rId25"/>
    <sheet name="01-06 Dic" sheetId="5" r:id="rId26"/>
    <sheet name="24-29 NOV" sheetId="4" r:id="rId27"/>
    <sheet name="17-22 NOV" sheetId="3" r:id="rId28"/>
    <sheet name="10-15 NOV" sheetId="2" r:id="rId29"/>
    <sheet name="Hoja1" sheetId="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8" l="1"/>
  <c r="C24" i="2"/>
  <c r="L2" i="30"/>
  <c r="J8" i="30"/>
  <c r="C23" i="6"/>
  <c r="C24" i="5"/>
  <c r="C39" i="30"/>
  <c r="L6" i="30"/>
  <c r="I26" i="30"/>
  <c r="N52" i="30" l="1"/>
  <c r="K42" i="30"/>
  <c r="J42" i="30"/>
  <c r="L41" i="30"/>
  <c r="N53" i="30" l="1"/>
  <c r="M50" i="30"/>
  <c r="N42" i="30"/>
  <c r="L48" i="30"/>
  <c r="M48" i="30" s="1"/>
  <c r="L49" i="30"/>
  <c r="M49" i="30" s="1"/>
  <c r="L47" i="30"/>
  <c r="M47" i="30"/>
  <c r="L46" i="30"/>
  <c r="M46" i="30" s="1"/>
  <c r="D13" i="30"/>
  <c r="C38" i="30"/>
  <c r="J54" i="30" l="1"/>
  <c r="M52" i="30"/>
  <c r="J55" i="30" s="1"/>
  <c r="C6" i="30"/>
  <c r="J22" i="30"/>
  <c r="C21" i="30"/>
  <c r="J35" i="29"/>
  <c r="J36" i="29" s="1"/>
  <c r="K36" i="29" s="1"/>
  <c r="I14" i="29"/>
  <c r="I21" i="29" s="1"/>
  <c r="E16" i="30"/>
  <c r="E57" i="30"/>
  <c r="E59" i="30" s="1"/>
  <c r="N28" i="30"/>
  <c r="F28" i="30"/>
  <c r="C27" i="30"/>
  <c r="F23" i="30"/>
  <c r="K20" i="30"/>
  <c r="K19" i="30"/>
  <c r="K15" i="30"/>
  <c r="K13" i="30"/>
  <c r="K12" i="30"/>
  <c r="C22" i="29"/>
  <c r="B48" i="29" s="1"/>
  <c r="J56" i="30" l="1"/>
  <c r="J24" i="30"/>
  <c r="C5" i="30" s="1"/>
  <c r="M60" i="30"/>
  <c r="L60" i="30" s="1"/>
  <c r="F48" i="30"/>
  <c r="K21" i="30"/>
  <c r="E58" i="30"/>
  <c r="E48" i="30"/>
  <c r="M28" i="29"/>
  <c r="K3" i="29"/>
  <c r="L3" i="29" s="1"/>
  <c r="C6" i="29"/>
  <c r="D28" i="29"/>
  <c r="C48" i="30" l="1"/>
  <c r="J9" i="30" s="1"/>
  <c r="D48" i="30"/>
  <c r="M62" i="30"/>
  <c r="L61" i="30"/>
  <c r="L62" i="30" s="1"/>
  <c r="E27" i="28"/>
  <c r="E26" i="28"/>
  <c r="E22" i="28"/>
  <c r="E44" i="28" s="1"/>
  <c r="D13" i="28"/>
  <c r="I23" i="28"/>
  <c r="I31" i="28"/>
  <c r="I34" i="28" s="1"/>
  <c r="K26" i="28"/>
  <c r="H22" i="28"/>
  <c r="H15" i="28"/>
  <c r="H21" i="28" s="1"/>
  <c r="C42" i="28"/>
  <c r="C30" i="28"/>
  <c r="C16" i="28"/>
  <c r="C6" i="28"/>
  <c r="C2" i="28"/>
  <c r="H23" i="28" l="1"/>
  <c r="C5" i="28" s="1"/>
  <c r="C44" i="28" s="1"/>
  <c r="K27" i="28"/>
  <c r="K28" i="28" s="1"/>
  <c r="J23" i="28"/>
  <c r="D17" i="29"/>
  <c r="D13" i="29"/>
  <c r="K34" i="28" l="1"/>
  <c r="I8" i="29"/>
  <c r="D2" i="29" l="1"/>
  <c r="D46" i="29" s="1"/>
  <c r="D55" i="29"/>
  <c r="D57" i="29" s="1"/>
  <c r="E29" i="29"/>
  <c r="E28" i="29"/>
  <c r="E24" i="29"/>
  <c r="I23" i="29" l="1"/>
  <c r="E46" i="29"/>
  <c r="D56" i="29"/>
  <c r="H55" i="28"/>
  <c r="J53" i="28"/>
  <c r="J56" i="28" s="1"/>
  <c r="J57" i="28" s="1"/>
  <c r="H53" i="28"/>
  <c r="D53" i="28"/>
  <c r="D55" i="28" s="1"/>
  <c r="D49" i="28"/>
  <c r="D48" i="28"/>
  <c r="D44" i="28"/>
  <c r="H8" i="28"/>
  <c r="H56" i="28" l="1"/>
  <c r="C5" i="29"/>
  <c r="H9" i="28"/>
  <c r="D54" i="28"/>
  <c r="C46" i="29" l="1"/>
  <c r="I9" i="29" s="1"/>
  <c r="D50" i="27"/>
  <c r="D52" i="27" s="1"/>
  <c r="D46" i="27"/>
  <c r="E24" i="27"/>
  <c r="E23" i="27"/>
  <c r="C31" i="27"/>
  <c r="K12" i="27"/>
  <c r="I25" i="27"/>
  <c r="J25" i="27" s="1"/>
  <c r="H25" i="27"/>
  <c r="I21" i="27"/>
  <c r="I20" i="27"/>
  <c r="C9" i="26"/>
  <c r="I8" i="26"/>
  <c r="C34" i="26"/>
  <c r="C42" i="26"/>
  <c r="I55" i="27"/>
  <c r="K53" i="27"/>
  <c r="K56" i="27" s="1"/>
  <c r="K57" i="27" s="1"/>
  <c r="I53" i="27"/>
  <c r="D45" i="27"/>
  <c r="H34" i="27"/>
  <c r="F19" i="27"/>
  <c r="F40" i="27" s="1"/>
  <c r="D14" i="27"/>
  <c r="D41" i="27" s="1"/>
  <c r="I8" i="27"/>
  <c r="F29" i="26"/>
  <c r="F46" i="26" s="1"/>
  <c r="D46" i="26"/>
  <c r="D50" i="26"/>
  <c r="I19" i="26"/>
  <c r="C5" i="26" s="1"/>
  <c r="C6" i="26" s="1"/>
  <c r="D51" i="27" l="1"/>
  <c r="I22" i="27"/>
  <c r="C5" i="27" s="1"/>
  <c r="C6" i="27" s="1"/>
  <c r="I56" i="27"/>
  <c r="C12" i="26"/>
  <c r="C41" i="27" l="1"/>
  <c r="I9" i="27" s="1"/>
  <c r="I58" i="26"/>
  <c r="K56" i="26"/>
  <c r="K59" i="26" s="1"/>
  <c r="K60" i="26" s="1"/>
  <c r="I56" i="26"/>
  <c r="H37" i="26"/>
  <c r="H27" i="26"/>
  <c r="H28" i="26" s="1"/>
  <c r="L22" i="26"/>
  <c r="L24" i="26" s="1"/>
  <c r="I23" i="26"/>
  <c r="C30" i="25"/>
  <c r="L49" i="25"/>
  <c r="L52" i="25" s="1"/>
  <c r="L53" i="25" s="1"/>
  <c r="J49" i="25"/>
  <c r="J51" i="25"/>
  <c r="J52" i="25" l="1"/>
  <c r="I59" i="26"/>
  <c r="I33" i="25"/>
  <c r="J19" i="25"/>
  <c r="J21" i="25" s="1"/>
  <c r="D42" i="25"/>
  <c r="D43" i="25" s="1"/>
  <c r="D39" i="25"/>
  <c r="C22" i="25"/>
  <c r="C7" i="25"/>
  <c r="C36" i="25"/>
  <c r="J7" i="25"/>
  <c r="C46" i="26" l="1"/>
  <c r="I9" i="26" s="1"/>
  <c r="E42" i="25"/>
  <c r="E43" i="25" s="1"/>
  <c r="F28" i="25"/>
  <c r="G27" i="25"/>
  <c r="G39" i="25" s="1"/>
  <c r="I25" i="25"/>
  <c r="I26" i="25" s="1"/>
  <c r="E39" i="25"/>
  <c r="M20" i="25"/>
  <c r="M22" i="25" s="1"/>
  <c r="C4" i="25"/>
  <c r="C18" i="25" s="1"/>
  <c r="O12" i="25"/>
  <c r="I19" i="24"/>
  <c r="C29" i="24"/>
  <c r="D37" i="24"/>
  <c r="D38" i="24" s="1"/>
  <c r="J18" i="24"/>
  <c r="C4" i="24"/>
  <c r="C18" i="24" s="1"/>
  <c r="C37" i="19"/>
  <c r="I3" i="19"/>
  <c r="F27" i="24"/>
  <c r="F34" i="24" s="1"/>
  <c r="H25" i="24"/>
  <c r="H26" i="24" s="1"/>
  <c r="D28" i="24"/>
  <c r="L20" i="24"/>
  <c r="L22" i="24" s="1"/>
  <c r="D22" i="24"/>
  <c r="N12" i="24"/>
  <c r="I2" i="23"/>
  <c r="F26" i="23"/>
  <c r="H25" i="23"/>
  <c r="H26" i="23" s="1"/>
  <c r="D25" i="23"/>
  <c r="L20" i="23"/>
  <c r="L22" i="23" s="1"/>
  <c r="D20" i="23"/>
  <c r="I18" i="23"/>
  <c r="C4" i="23" s="1"/>
  <c r="N12" i="23"/>
  <c r="I6" i="23"/>
  <c r="I18" i="22"/>
  <c r="I2" i="22"/>
  <c r="F31" i="22"/>
  <c r="D31" i="22"/>
  <c r="H26" i="22"/>
  <c r="F26" i="22"/>
  <c r="H25" i="22"/>
  <c r="D25" i="22"/>
  <c r="L20" i="22"/>
  <c r="L22" i="22" s="1"/>
  <c r="D20" i="22"/>
  <c r="N12" i="22"/>
  <c r="I6" i="22"/>
  <c r="L20" i="21"/>
  <c r="L22" i="21" s="1"/>
  <c r="F26" i="21"/>
  <c r="F31" i="21" s="1"/>
  <c r="H25" i="21"/>
  <c r="H26" i="21" s="1"/>
  <c r="D25" i="21"/>
  <c r="I20" i="21"/>
  <c r="C4" i="21" s="1"/>
  <c r="C17" i="21" s="1"/>
  <c r="D20" i="21"/>
  <c r="N12" i="21"/>
  <c r="I6" i="21"/>
  <c r="C3" i="21"/>
  <c r="I20" i="19"/>
  <c r="D4" i="19" s="1"/>
  <c r="C12" i="19"/>
  <c r="N12" i="19"/>
  <c r="D2" i="19"/>
  <c r="D3" i="19"/>
  <c r="E20" i="19"/>
  <c r="C3" i="19"/>
  <c r="C17" i="19" l="1"/>
  <c r="D34" i="24"/>
  <c r="C39" i="25"/>
  <c r="J8" i="25" s="1"/>
  <c r="I21" i="24"/>
  <c r="D30" i="23"/>
  <c r="F30" i="23"/>
  <c r="C17" i="23"/>
  <c r="C30" i="23" s="1"/>
  <c r="I7" i="23" s="1"/>
  <c r="I5" i="24" s="1"/>
  <c r="I7" i="24" s="1"/>
  <c r="C31" i="21"/>
  <c r="I7" i="21" s="1"/>
  <c r="D31" i="21"/>
  <c r="C38" i="20"/>
  <c r="F32" i="20"/>
  <c r="E30" i="20"/>
  <c r="E32" i="20" s="1"/>
  <c r="D26" i="20"/>
  <c r="H25" i="20"/>
  <c r="H26" i="20" s="1"/>
  <c r="F25" i="20"/>
  <c r="L22" i="20"/>
  <c r="L23" i="20" s="1"/>
  <c r="I18" i="20"/>
  <c r="C3" i="20" s="1"/>
  <c r="D17" i="20"/>
  <c r="D32" i="20" s="1"/>
  <c r="M9" i="20"/>
  <c r="L9" i="20"/>
  <c r="M11" i="20" s="1"/>
  <c r="I3" i="20"/>
  <c r="I6" i="20" s="1"/>
  <c r="C34" i="24" l="1"/>
  <c r="I8" i="24" s="1"/>
  <c r="C17" i="20"/>
  <c r="C32" i="20" s="1"/>
  <c r="I7" i="20" s="1"/>
  <c r="D25" i="19"/>
  <c r="D6" i="18"/>
  <c r="C14" i="18"/>
  <c r="D17" i="18" l="1"/>
  <c r="I3" i="18"/>
  <c r="I6" i="18" s="1"/>
  <c r="E29" i="19"/>
  <c r="H25" i="19"/>
  <c r="H26" i="19" s="1"/>
  <c r="F26" i="19"/>
  <c r="F31" i="19" s="1"/>
  <c r="I6" i="19"/>
  <c r="D31" i="19" l="1"/>
  <c r="C31" i="19"/>
  <c r="I18" i="18"/>
  <c r="C3" i="18" s="1"/>
  <c r="C17" i="18" s="1"/>
  <c r="E30" i="18"/>
  <c r="E31" i="18" s="1"/>
  <c r="E26" i="18"/>
  <c r="D31" i="18" s="1"/>
  <c r="H25" i="18"/>
  <c r="H26" i="18" s="1"/>
  <c r="F25" i="18"/>
  <c r="F31" i="18" s="1"/>
  <c r="L22" i="18"/>
  <c r="L23" i="18" s="1"/>
  <c r="M8" i="18"/>
  <c r="M9" i="18" s="1"/>
  <c r="I18" i="17"/>
  <c r="I7" i="19" l="1"/>
  <c r="C31" i="18"/>
  <c r="I7" i="18" s="1"/>
  <c r="D31" i="17"/>
  <c r="D7" i="17"/>
  <c r="D4" i="17"/>
  <c r="C36" i="17"/>
  <c r="C27" i="17"/>
  <c r="C26" i="17"/>
  <c r="H25" i="17"/>
  <c r="H26" i="17" s="1"/>
  <c r="F25" i="17"/>
  <c r="F32" i="17" s="1"/>
  <c r="L22" i="17"/>
  <c r="L23" i="17" s="1"/>
  <c r="E21" i="17"/>
  <c r="E32" i="17" s="1"/>
  <c r="C3" i="17"/>
  <c r="C17" i="17" s="1"/>
  <c r="M8" i="17"/>
  <c r="M9" i="17" s="1"/>
  <c r="I6" i="17"/>
  <c r="D32" i="17" l="1"/>
  <c r="C32" i="17"/>
  <c r="I7" i="17" s="1"/>
  <c r="K22" i="16"/>
  <c r="K23" i="16" s="1"/>
  <c r="D21" i="16"/>
  <c r="C17" i="16"/>
  <c r="C27" i="16" l="1"/>
  <c r="H6" i="16"/>
  <c r="C26" i="16" l="1"/>
  <c r="G25" i="16"/>
  <c r="G26" i="16" s="1"/>
  <c r="C35" i="16"/>
  <c r="D31" i="16"/>
  <c r="E25" i="16"/>
  <c r="E31" i="16" s="1"/>
  <c r="H18" i="16"/>
  <c r="C3" i="16" s="1"/>
  <c r="L8" i="16"/>
  <c r="L9" i="16" s="1"/>
  <c r="C31" i="16" l="1"/>
  <c r="H7" i="16" s="1"/>
  <c r="H6" i="14"/>
  <c r="H6" i="13"/>
  <c r="H28" i="12"/>
  <c r="C3" i="12" s="1"/>
  <c r="H6" i="12"/>
  <c r="D26" i="15"/>
  <c r="D30" i="15" s="1"/>
  <c r="H6" i="15" l="1"/>
  <c r="C3" i="15"/>
  <c r="C28" i="15"/>
  <c r="E25" i="15"/>
  <c r="E30" i="15" s="1"/>
  <c r="H18" i="15"/>
  <c r="L8" i="15"/>
  <c r="L9" i="15" s="1"/>
  <c r="C17" i="14"/>
  <c r="D27" i="14"/>
  <c r="E25" i="14"/>
  <c r="E29" i="14" s="1"/>
  <c r="H18" i="14"/>
  <c r="L8" i="14"/>
  <c r="L9" i="14" s="1"/>
  <c r="D26" i="13"/>
  <c r="C17" i="15" l="1"/>
  <c r="C34" i="15"/>
  <c r="C3" i="14"/>
  <c r="C33" i="14" s="1"/>
  <c r="D29" i="14"/>
  <c r="D35" i="13"/>
  <c r="D36" i="13" s="1"/>
  <c r="C33" i="13"/>
  <c r="E33" i="13" s="1"/>
  <c r="C32" i="13"/>
  <c r="E32" i="13" s="1"/>
  <c r="E34" i="13" s="1"/>
  <c r="D27" i="13" s="1"/>
  <c r="C27" i="13"/>
  <c r="C17" i="13"/>
  <c r="C30" i="15" l="1"/>
  <c r="H7" i="15" s="1"/>
  <c r="C29" i="14"/>
  <c r="H7" i="14" s="1"/>
  <c r="D29" i="13"/>
  <c r="E25" i="13"/>
  <c r="E29" i="13" s="1"/>
  <c r="H18" i="13"/>
  <c r="L8" i="13"/>
  <c r="L9" i="13" s="1"/>
  <c r="L8" i="12"/>
  <c r="L9" i="12" s="1"/>
  <c r="C17" i="12"/>
  <c r="C34" i="12" s="1"/>
  <c r="H7" i="12" s="1"/>
  <c r="C32" i="12"/>
  <c r="H15" i="12"/>
  <c r="H18" i="12" s="1"/>
  <c r="C33" i="12"/>
  <c r="G37" i="12"/>
  <c r="G39" i="12" s="1"/>
  <c r="E30" i="12"/>
  <c r="D34" i="12"/>
  <c r="D21" i="11"/>
  <c r="L25" i="11"/>
  <c r="H2" i="11"/>
  <c r="H5" i="11"/>
  <c r="C3" i="13" l="1"/>
  <c r="H20" i="13"/>
  <c r="E34" i="12"/>
  <c r="L15" i="11"/>
  <c r="G37" i="11"/>
  <c r="G39" i="11" s="1"/>
  <c r="J25" i="11"/>
  <c r="D17" i="11"/>
  <c r="C29" i="13" l="1"/>
  <c r="H7" i="13" s="1"/>
  <c r="H28" i="11"/>
  <c r="E30" i="11"/>
  <c r="E34" i="11" s="1"/>
  <c r="H4" i="11"/>
  <c r="H3" i="11"/>
  <c r="H6" i="11" s="1"/>
  <c r="H18" i="11"/>
  <c r="C34" i="11" s="1"/>
  <c r="K2" i="11"/>
  <c r="M2" i="11" s="1"/>
  <c r="M4" i="11" s="1"/>
  <c r="H6" i="10"/>
  <c r="C30" i="13" l="1"/>
  <c r="D34" i="11"/>
  <c r="H7" i="11" s="1"/>
  <c r="H15" i="10"/>
  <c r="H17" i="10" s="1"/>
  <c r="C3" i="10" s="1"/>
  <c r="C34" i="10" s="1"/>
  <c r="H7" i="10" s="1"/>
  <c r="M2" i="10"/>
  <c r="M4" i="10" s="1"/>
  <c r="K2" i="10"/>
  <c r="C44" i="10"/>
  <c r="D34" i="10"/>
  <c r="E19" i="10"/>
  <c r="E34" i="10" s="1"/>
  <c r="H6" i="8"/>
  <c r="C45" i="9"/>
  <c r="D35" i="9"/>
  <c r="H32" i="9"/>
  <c r="C30" i="9"/>
  <c r="H26" i="9"/>
  <c r="E19" i="9"/>
  <c r="E35" i="9" s="1"/>
  <c r="H17" i="9"/>
  <c r="H21" i="9" s="1"/>
  <c r="H22" i="9" s="1"/>
  <c r="C35" i="9"/>
  <c r="H6" i="9"/>
  <c r="H32" i="8"/>
  <c r="C45" i="8"/>
  <c r="D35" i="8"/>
  <c r="H26" i="8"/>
  <c r="H17" i="8"/>
  <c r="H21" i="8" s="1"/>
  <c r="H22" i="8" s="1"/>
  <c r="H27" i="9" l="1"/>
  <c r="H7" i="9"/>
  <c r="H8" i="9" s="1"/>
  <c r="C25" i="8"/>
  <c r="E19" i="8"/>
  <c r="C8" i="8"/>
  <c r="C35" i="8" s="1"/>
  <c r="C24" i="7"/>
  <c r="H7" i="8" l="1"/>
  <c r="H8" i="8" s="1"/>
  <c r="C23" i="7"/>
  <c r="C18" i="7"/>
  <c r="C22" i="7"/>
  <c r="D7" i="7"/>
  <c r="D21" i="7"/>
  <c r="H15" i="7"/>
  <c r="H6" i="7"/>
  <c r="D25" i="7" l="1"/>
  <c r="C25" i="7"/>
  <c r="H7" i="7" s="1"/>
  <c r="M9" i="6"/>
  <c r="N10" i="6" s="1"/>
  <c r="N9" i="6"/>
  <c r="H2" i="6"/>
  <c r="D7" i="6" l="1"/>
  <c r="C25" i="6"/>
  <c r="H6" i="6"/>
  <c r="C11" i="6"/>
  <c r="H15" i="6"/>
  <c r="D20" i="6"/>
  <c r="N26" i="5"/>
  <c r="N22" i="5"/>
  <c r="N19" i="5"/>
  <c r="N10" i="5"/>
  <c r="N9" i="5"/>
  <c r="N14" i="5" s="1"/>
  <c r="C12" i="5"/>
  <c r="H24" i="5"/>
  <c r="D23" i="6" l="1"/>
  <c r="H7" i="6"/>
  <c r="D22" i="5"/>
  <c r="C19" i="5"/>
  <c r="E24" i="5" l="1"/>
  <c r="C39" i="5"/>
  <c r="C35" i="5"/>
  <c r="C41" i="5" s="1"/>
  <c r="C44" i="5" s="1"/>
  <c r="K13" i="5"/>
  <c r="H6" i="5"/>
  <c r="C23" i="4"/>
  <c r="D23" i="4"/>
  <c r="J13" i="4"/>
  <c r="C38" i="4"/>
  <c r="C34" i="4"/>
  <c r="G6" i="4"/>
  <c r="C22" i="3"/>
  <c r="D22" i="3"/>
  <c r="C40" i="4" l="1"/>
  <c r="C43" i="4" s="1"/>
  <c r="G6" i="3"/>
  <c r="C15" i="2" l="1"/>
  <c r="G6" i="2" l="1"/>
  <c r="C21" i="2"/>
  <c r="C23" i="2" s="1"/>
  <c r="K18" i="1"/>
  <c r="M7" i="1" l="1"/>
  <c r="L21" i="1"/>
  <c r="K21" i="1"/>
  <c r="K22" i="1" s="1"/>
  <c r="H21" i="1"/>
  <c r="H25" i="1"/>
  <c r="D4" i="1"/>
  <c r="C10" i="1"/>
  <c r="C13" i="1"/>
  <c r="H27" i="1" l="1"/>
  <c r="C16" i="1"/>
  <c r="C20" i="1" s="1"/>
  <c r="C4" i="22"/>
  <c r="C17" i="22"/>
  <c r="C31" i="22" l="1"/>
  <c r="I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4" authorId="0" shapeId="0" xr:uid="{C5E5448E-9551-4513-8A88-CF12470E9D2E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4" authorId="0" shapeId="0" xr:uid="{D23F0828-F91F-4108-ACE0-AF318C5BB49F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4" authorId="0" shapeId="0" xr:uid="{92DE0455-102A-41C1-AFD5-8EA276AA0782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4" authorId="0" shapeId="0" xr:uid="{6715C1A0-26A9-408D-B26D-E74335B2EBEB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sharedStrings.xml><?xml version="1.0" encoding="utf-8"?>
<sst xmlns="http://schemas.openxmlformats.org/spreadsheetml/2006/main" count="1688" uniqueCount="337">
  <si>
    <t>ARA</t>
  </si>
  <si>
    <t>IMSS</t>
  </si>
  <si>
    <t>NOMINA 1</t>
  </si>
  <si>
    <t>NOMINA 2</t>
  </si>
  <si>
    <t>FRESERO ALEX</t>
  </si>
  <si>
    <t>FRESERO JOSE LUIS RODILES</t>
  </si>
  <si>
    <t>FRESERO GABRIEL</t>
  </si>
  <si>
    <t>TARIMA</t>
  </si>
  <si>
    <t>CIPSA</t>
  </si>
  <si>
    <t>BOLSA</t>
  </si>
  <si>
    <t>ETIQUETA BLANCA</t>
  </si>
  <si>
    <t>Deposito</t>
  </si>
  <si>
    <t>Saldo</t>
  </si>
  <si>
    <t>Suma</t>
  </si>
  <si>
    <t>CXM</t>
  </si>
  <si>
    <t>Codice</t>
  </si>
  <si>
    <t>RAISA</t>
  </si>
  <si>
    <t>TROQUELADO Y ALUM DE ZAMORA</t>
  </si>
  <si>
    <t>IMSS CXM</t>
  </si>
  <si>
    <t>RICA GONZALEZ</t>
  </si>
  <si>
    <t>GARNICA CONSULTING (Factura 415)</t>
  </si>
  <si>
    <t>GARNICA CONSULTING (Factura 436)</t>
  </si>
  <si>
    <t>AVV</t>
  </si>
  <si>
    <t>FV</t>
  </si>
  <si>
    <t>Nomina CXM</t>
  </si>
  <si>
    <t>REPARACION CAMIONETA</t>
  </si>
  <si>
    <t>AA</t>
  </si>
  <si>
    <t>Grua</t>
  </si>
  <si>
    <t>Gasto regreso</t>
  </si>
  <si>
    <t>PLATANO</t>
  </si>
  <si>
    <t>ARTURO GUERRERO</t>
  </si>
  <si>
    <t>ALEX Y RAFA</t>
  </si>
  <si>
    <t>DEPACHO GARNICA</t>
  </si>
  <si>
    <t>LORE</t>
  </si>
  <si>
    <t>SIMA (CALIBRACION)</t>
  </si>
  <si>
    <t>EFECTIVO</t>
  </si>
  <si>
    <t>OMAR GUERRERO</t>
  </si>
  <si>
    <t>GERA ARMENTA</t>
  </si>
  <si>
    <t>PLATANO 1A RECEPCION (12/11/25)</t>
  </si>
  <si>
    <t>PLATANO 2A RECEPCION (14/11/25)</t>
  </si>
  <si>
    <t>SE FACTURO Y PAGO</t>
  </si>
  <si>
    <t>KG</t>
  </si>
  <si>
    <t>SUMA</t>
  </si>
  <si>
    <t>SALDO KG</t>
  </si>
  <si>
    <t>NOMINA FV</t>
  </si>
  <si>
    <t>NOMINA CXM</t>
  </si>
  <si>
    <t>CUENTA</t>
  </si>
  <si>
    <t>Semana del 17 al 22 de Noviembre</t>
  </si>
  <si>
    <t>ROBERTO REYES</t>
  </si>
  <si>
    <t>LALO AGUIRRE</t>
  </si>
  <si>
    <t>SINDULFO</t>
  </si>
  <si>
    <t>SR IGNACIO</t>
  </si>
  <si>
    <t>Ing Aguilar , embolsadora</t>
  </si>
  <si>
    <t>Contador Raymundo</t>
  </si>
  <si>
    <t>CIELO (TARIMAS)</t>
  </si>
  <si>
    <t>Cristian Ramirez</t>
  </si>
  <si>
    <t>Tenencia</t>
  </si>
  <si>
    <t>* Honda CRV</t>
  </si>
  <si>
    <t>CHEQUE</t>
  </si>
  <si>
    <t>* CX-7</t>
  </si>
  <si>
    <t>* Aveo</t>
  </si>
  <si>
    <t xml:space="preserve">* Ford Roja </t>
  </si>
  <si>
    <t>FV H100</t>
  </si>
  <si>
    <t>GRUA</t>
  </si>
  <si>
    <t>TATA</t>
  </si>
  <si>
    <t>CHURRAS</t>
  </si>
  <si>
    <t>GUSTAVO</t>
  </si>
  <si>
    <t>VERO</t>
  </si>
  <si>
    <t>Tenencias</t>
  </si>
  <si>
    <t>gaby</t>
  </si>
  <si>
    <t>Semana del 01 al 06 de Diciembre</t>
  </si>
  <si>
    <t>EMBAPACK</t>
  </si>
  <si>
    <t>Contador Carlos</t>
  </si>
  <si>
    <t xml:space="preserve">Mandar al club x el refrigerador y snack </t>
  </si>
  <si>
    <t xml:space="preserve">Llevar cartón a vender </t>
  </si>
  <si>
    <t>Ver con Gus y churras comida de los perros</t>
  </si>
  <si>
    <t>TRANSPORTE Gente</t>
  </si>
  <si>
    <t>Pago CIPSA</t>
  </si>
  <si>
    <t>Bolsa Transparente (Chavinda)</t>
  </si>
  <si>
    <t>Transporte de Gente</t>
  </si>
  <si>
    <t>=</t>
  </si>
  <si>
    <t>Churras</t>
  </si>
  <si>
    <t>Vero</t>
  </si>
  <si>
    <t>Gus</t>
  </si>
  <si>
    <t>Gus gastos</t>
  </si>
  <si>
    <t>Viaje de Gente</t>
  </si>
  <si>
    <t>Cipsa</t>
  </si>
  <si>
    <t>Semana del 08 al 13 de Diciembre</t>
  </si>
  <si>
    <t>Soco</t>
  </si>
  <si>
    <t>proberry</t>
  </si>
  <si>
    <t>Diferencia</t>
  </si>
  <si>
    <t>CAJA CARTON (PATAGONIA)</t>
  </si>
  <si>
    <t>AVV (PAGO SANTANDERT)</t>
  </si>
  <si>
    <t>PAGO</t>
  </si>
  <si>
    <t>PENDIENTE</t>
  </si>
  <si>
    <t>LORE (Transporte Personal)</t>
  </si>
  <si>
    <t>ENTRADAS</t>
  </si>
  <si>
    <t>1 kg Fresa</t>
  </si>
  <si>
    <t>1 kg Frutos Rojos</t>
  </si>
  <si>
    <t>2 kg Mango</t>
  </si>
  <si>
    <t>Frambuesa</t>
  </si>
  <si>
    <t>Miguel</t>
  </si>
  <si>
    <t>Compañero</t>
  </si>
  <si>
    <t>48 Snack</t>
  </si>
  <si>
    <t>Semana del 15 al 20 de Diciembre</t>
  </si>
  <si>
    <t>Honorarios contador</t>
  </si>
  <si>
    <t>ETIQUETAS CODICE</t>
  </si>
  <si>
    <t>CELULAR</t>
  </si>
  <si>
    <t>AVV (PAGO MONARCA)</t>
  </si>
  <si>
    <t>GUAYABAS LA ESPERANZA</t>
  </si>
  <si>
    <t>REIMER</t>
  </si>
  <si>
    <t>FACTURA E IMPUESTOS LAR</t>
  </si>
  <si>
    <t>Contador Reymundo</t>
  </si>
  <si>
    <t>CONTRATO REIMER (Lic Carlos)</t>
  </si>
  <si>
    <t>Filtros</t>
  </si>
  <si>
    <t>Mano Obra Mecanico</t>
  </si>
  <si>
    <t>Refacciones Electrico</t>
  </si>
  <si>
    <t>Mano Obra Electrico</t>
  </si>
  <si>
    <t>Dia del Churras</t>
  </si>
  <si>
    <t>Aceite (2 galones)</t>
  </si>
  <si>
    <t>PAGO CONTPAQ</t>
  </si>
  <si>
    <t>telefono</t>
  </si>
  <si>
    <t>Proberry</t>
  </si>
  <si>
    <t>Primus Lab</t>
  </si>
  <si>
    <t>Semana del 05 al 10 de Enero</t>
  </si>
  <si>
    <t>A cuenta Nomina</t>
  </si>
  <si>
    <t>SANICHEM</t>
  </si>
  <si>
    <t>CODICE</t>
  </si>
  <si>
    <t>DIKEN</t>
  </si>
  <si>
    <t>OMAR</t>
  </si>
  <si>
    <t>Brayan</t>
  </si>
  <si>
    <t>Proberry a Cuenta</t>
  </si>
  <si>
    <t>OMAR nomina</t>
  </si>
  <si>
    <t>Proberry barriles</t>
  </si>
  <si>
    <t>Jair</t>
  </si>
  <si>
    <t>LAR</t>
  </si>
  <si>
    <t>GALU</t>
  </si>
  <si>
    <t>Proberry a Cuenta ( Pago por contador efectivo)</t>
  </si>
  <si>
    <t>ADEUDO GALU</t>
  </si>
  <si>
    <t>CAJA CARTON (RUTH)</t>
  </si>
  <si>
    <t>CAJA PATAGONI Y EMBAPACK</t>
  </si>
  <si>
    <t>Nomina</t>
  </si>
  <si>
    <t>Caja 10 lbs</t>
  </si>
  <si>
    <t>Caja 30 lbs</t>
  </si>
  <si>
    <t>IMPUESTOS OCTUBRE LAR</t>
  </si>
  <si>
    <t>DELFIN</t>
  </si>
  <si>
    <t>PROLIZA</t>
  </si>
  <si>
    <t>TRANSPORTE LORE</t>
  </si>
  <si>
    <t>Bolsa (Chavinda)</t>
  </si>
  <si>
    <t>Cielo Alejandra</t>
  </si>
  <si>
    <t>CAJA PATAGONIA</t>
  </si>
  <si>
    <t>Proberry Zarzamora</t>
  </si>
  <si>
    <t>del pago</t>
  </si>
  <si>
    <t>Semana del 26 al 31 de Enero</t>
  </si>
  <si>
    <t>GUSTAVO gastos</t>
  </si>
  <si>
    <t>CAJA CARTON (PATAGONIA) 20 y 30 lbs</t>
  </si>
  <si>
    <t>BOLSA 30 LBS CHAVINDA</t>
  </si>
  <si>
    <t>20 lbs</t>
  </si>
  <si>
    <t>30 lbs</t>
  </si>
  <si>
    <t>Precio</t>
  </si>
  <si>
    <t>Cantidad</t>
  </si>
  <si>
    <t>Importe</t>
  </si>
  <si>
    <t>gastos</t>
  </si>
  <si>
    <t>embapack</t>
  </si>
  <si>
    <t>Semana del 02 al 07 Feb</t>
  </si>
  <si>
    <t>CAJA RUTH GDL</t>
  </si>
  <si>
    <t>Proberry ARANDANO</t>
  </si>
  <si>
    <t>Proberry CRUMBLE</t>
  </si>
  <si>
    <t>Semana del 09 al 14 Feb</t>
  </si>
  <si>
    <t>Proberry 80/20</t>
  </si>
  <si>
    <t>Edgar Joel Vega Martínez (Emplaye)</t>
  </si>
  <si>
    <t>Prestamo Embolsadora</t>
  </si>
  <si>
    <t>MARACUYA BORREGOS</t>
  </si>
  <si>
    <t>Saldo LAR</t>
  </si>
  <si>
    <t>SEGURO AVEO</t>
  </si>
  <si>
    <t>Semana del 16 al 21 Feb</t>
  </si>
  <si>
    <t>AVV MONARCA</t>
  </si>
  <si>
    <t>VERIFICACION FLOSOL</t>
  </si>
  <si>
    <t>Proberry Crumble</t>
  </si>
  <si>
    <t>Proberry Bloque Fram</t>
  </si>
  <si>
    <t>Alejandro Rodriguez</t>
  </si>
  <si>
    <t>Semana del 23 al 28 Feb</t>
  </si>
  <si>
    <t>FRANCISCO (Cancun)</t>
  </si>
  <si>
    <t>Semana del 02 al 07 Marzo</t>
  </si>
  <si>
    <t>Proberry Zarza</t>
  </si>
  <si>
    <t>Pendiente Domingo</t>
  </si>
  <si>
    <t>EMBAPACK Bolsa Verde)</t>
  </si>
  <si>
    <t xml:space="preserve">ETIQUETAS </t>
  </si>
  <si>
    <t>FRENOS CAMIONETA JESUS</t>
  </si>
  <si>
    <t>Gastos LAR</t>
  </si>
  <si>
    <t>ALEJANDRO RODRIGUEZ</t>
  </si>
  <si>
    <t>MARACUYA</t>
  </si>
  <si>
    <t>JOSE HDEZ GARCIA (PAGO TARIMA)</t>
  </si>
  <si>
    <t>NOMINA JACONA</t>
  </si>
  <si>
    <t>PEDIENTE JESUS ALVAREZ TRANSPORTE ZACAPU</t>
  </si>
  <si>
    <t>GASTOS PENDIENTE</t>
  </si>
  <si>
    <t>FRENOS</t>
  </si>
  <si>
    <t>GAS (Gustavo le puso)</t>
  </si>
  <si>
    <t>GAS Efectivo Inge</t>
  </si>
  <si>
    <t>Semana del 09 al 14 de Marzo</t>
  </si>
  <si>
    <t>Semana del 16 al 21 Marzo</t>
  </si>
  <si>
    <t>COMPRA LAPTOP</t>
  </si>
  <si>
    <t>REP CAMIONETA Efectivo Inge</t>
  </si>
  <si>
    <t>REP CAMIONETA Deposito</t>
  </si>
  <si>
    <t>TRAMITES CFE</t>
  </si>
  <si>
    <t>Semana del 23 al 28 Marzo</t>
  </si>
  <si>
    <t>AVV  (MONARCA)</t>
  </si>
  <si>
    <t>ROCIO IMPI</t>
  </si>
  <si>
    <t>PAGO BOTELLA PLASTICO 1 LTO</t>
  </si>
  <si>
    <t>Semana del 30 de Marzo al 04 Abril</t>
  </si>
  <si>
    <t>Semana del 06 al 11 Abril</t>
  </si>
  <si>
    <t>ALBAÑILES JOAQUIN</t>
  </si>
  <si>
    <t>CIRAM</t>
  </si>
  <si>
    <t>Semana del 13 al 18 Abril</t>
  </si>
  <si>
    <t>Semana pasada</t>
  </si>
  <si>
    <t>Tony</t>
  </si>
  <si>
    <t>CIELO ALEJANDRA (TARIMAS) GONZALO</t>
  </si>
  <si>
    <t>IMSS FV</t>
  </si>
  <si>
    <t>Malla Sombra 70%, 7.85 x 4.70 mts</t>
  </si>
  <si>
    <t>2 pzas</t>
  </si>
  <si>
    <t>Malla Sombra 70%, 1.90 x 2.43</t>
  </si>
  <si>
    <t>Malla Sombra 70%; 1.92 x 6.00</t>
  </si>
  <si>
    <t>P. Malla Sombra 70%; 1.25 x 2.50 mts</t>
  </si>
  <si>
    <t>1 pza</t>
  </si>
  <si>
    <t>P. Malla Sombra 70%; 2.50 x 2.50 mts</t>
  </si>
  <si>
    <t>P. Malla Sombra 70%; 2.00 x 2.50 mts</t>
  </si>
  <si>
    <t>GLADYS (CERTIFICACION)</t>
  </si>
  <si>
    <t>CONVENIO IMSS CXM</t>
  </si>
  <si>
    <t>PAGO ACTA CONST FV PLUS</t>
  </si>
  <si>
    <t>Semana del 20 al 25 Abril</t>
  </si>
  <si>
    <t>Proberry Crumble Maritimo 1/2</t>
  </si>
  <si>
    <t>MAURICIO CARO</t>
  </si>
  <si>
    <t>ALBERTO</t>
  </si>
  <si>
    <t>JORGE ALFARO</t>
  </si>
  <si>
    <t>MATERIAL RAISA</t>
  </si>
  <si>
    <t>CAJA RUTH GDLMK BOXES</t>
  </si>
  <si>
    <t>Pafgo AVV</t>
  </si>
  <si>
    <t>Semana Pasada</t>
  </si>
  <si>
    <t>PONCHO MADRIGAL (Fresa)</t>
  </si>
  <si>
    <t>PRIMUS LAB</t>
  </si>
  <si>
    <t>SAM JARABES TAPATIOS</t>
  </si>
  <si>
    <t>JOAQUIN (PENDIENTE Y REVOLVEDORA)</t>
  </si>
  <si>
    <t>Omar</t>
  </si>
  <si>
    <t>Caja Patagonia</t>
  </si>
  <si>
    <t>Semana del 27 Abril 02 Mayo</t>
  </si>
  <si>
    <t>Proberry Crumble Aguascalientes</t>
  </si>
  <si>
    <t>Proberry Picos</t>
  </si>
  <si>
    <t>IMPRENTA BERNARDO</t>
  </si>
  <si>
    <t>J. JESUS MAGAÑA TORRES, BBVA 0134654285</t>
  </si>
  <si>
    <t>IMSS (DEPOSITO A CUENTA AVV)</t>
  </si>
  <si>
    <t>xx/04/2026</t>
  </si>
  <si>
    <t>TRES GUERRAS</t>
  </si>
  <si>
    <t>FLEJE MONTERREY</t>
  </si>
  <si>
    <t>Varios (Llaves reparacion FV)</t>
  </si>
  <si>
    <t>A cuenta</t>
  </si>
  <si>
    <t>Pendiente Festivo</t>
  </si>
  <si>
    <t>Aceros Gutz</t>
  </si>
  <si>
    <t>Pintura FV ( cubeta Esmalte)</t>
  </si>
  <si>
    <t>NOMINA JACONA MIERCOLES</t>
  </si>
  <si>
    <t>NOMINA JACONA SABADO</t>
  </si>
  <si>
    <t>Semana del 04 al 09 Mayo</t>
  </si>
  <si>
    <t>Proberry 80/20 Julio caja 10 lbs</t>
  </si>
  <si>
    <t>PATAGONIA CAJA CARTON y 30 lbs</t>
  </si>
  <si>
    <t>MK BOXES RUTH GDL</t>
  </si>
  <si>
    <t>EMBAPACK Bolsa AZUL</t>
  </si>
  <si>
    <t>EMBAPACK Bolsa Verde</t>
  </si>
  <si>
    <t>FRANCISCO CANCUN</t>
  </si>
  <si>
    <t>Pendiente</t>
  </si>
  <si>
    <t>ALBERTO CHALAN</t>
  </si>
  <si>
    <t>EDUARDO VACA TRANSPORTE</t>
  </si>
  <si>
    <t>8 PERSONAS O MAS</t>
  </si>
  <si>
    <t>4 PERSONAS</t>
  </si>
  <si>
    <t>5 A 6 PERSONAS</t>
  </si>
  <si>
    <t>7 PERSONAS</t>
  </si>
  <si>
    <t>EMBAPACK Bolsa AZUL y verde</t>
  </si>
  <si>
    <t>Pago Luinni</t>
  </si>
  <si>
    <t>RAISA EFECTIVO</t>
  </si>
  <si>
    <t>BATAS, DIESEL, HOMEDEPOT</t>
  </si>
  <si>
    <t>Proberry 80/20 Julio caja 20 lbs</t>
  </si>
  <si>
    <t>IMPUESTOS LAR</t>
  </si>
  <si>
    <t>EDUARDO AGUIRRE</t>
  </si>
  <si>
    <t>CODICE ETIQUETAS</t>
  </si>
  <si>
    <t>ARTURO "PIÑA"</t>
  </si>
  <si>
    <t>LAR DEBITO</t>
  </si>
  <si>
    <t>OZ</t>
  </si>
  <si>
    <t>MONA</t>
  </si>
  <si>
    <t>LAR DEBITO F</t>
  </si>
  <si>
    <t>GASTOS</t>
  </si>
  <si>
    <t>CONSEGUIR FACTURA</t>
  </si>
  <si>
    <t>DEPACHO GARNICA (Pago Febrero 2026)</t>
  </si>
  <si>
    <t>Semana del 11 al 16 Mayo</t>
  </si>
  <si>
    <t>Factura</t>
  </si>
  <si>
    <t>IMPUESTOS LAR FEBRERO</t>
  </si>
  <si>
    <t>Semana del 18 AL 23 Mayo</t>
  </si>
  <si>
    <t>RODOLFO</t>
  </si>
  <si>
    <t>AYUDANTE RODOLFO</t>
  </si>
  <si>
    <t>LUZ TALLER, Inter, Limpieza y copas</t>
  </si>
  <si>
    <t>Picos Fruta</t>
  </si>
  <si>
    <t>Zarzamora</t>
  </si>
  <si>
    <t>Crumble Luis Glez</t>
  </si>
  <si>
    <t>Cubeta Crumble Aguscalientes</t>
  </si>
  <si>
    <t>Dipac</t>
  </si>
  <si>
    <t>DIPAC BOLSA CHAVINDA</t>
  </si>
  <si>
    <t>CONTADOR</t>
  </si>
  <si>
    <t>LAR PAGOS</t>
  </si>
  <si>
    <t>NOMINA</t>
  </si>
  <si>
    <t>GABY</t>
  </si>
  <si>
    <t>NOMINA JACONA Y OCUMICHO SABADO</t>
  </si>
  <si>
    <t>NOMINA JACONA Y OCUMICHO MIERCOLES</t>
  </si>
  <si>
    <t>EMBAPACK Bolsa AZUL)</t>
  </si>
  <si>
    <t>EMBAPACK Bolsa TRNASPARENTE</t>
  </si>
  <si>
    <t>GASTOS GUS</t>
  </si>
  <si>
    <t>LAR seguro aveo</t>
  </si>
  <si>
    <t>STEREN NEBULIZADORES</t>
  </si>
  <si>
    <t>CHRISTIAN MANUEL (TAMINAS)</t>
  </si>
  <si>
    <t>JOSE "CARAS" EQUIPO REFRIGERACION</t>
  </si>
  <si>
    <t>MANTENIMIENTO DE INSTALACIONES</t>
  </si>
  <si>
    <t>MANTENIMIENTO DE ELECTRICO</t>
  </si>
  <si>
    <t>REPARACION DE MOTOR DE CAMIONETA</t>
  </si>
  <si>
    <t>Honorarios</t>
  </si>
  <si>
    <t>pzas</t>
  </si>
  <si>
    <t>Unidad</t>
  </si>
  <si>
    <t>P.Unitario</t>
  </si>
  <si>
    <t>Rollo emplaye de Plastico</t>
  </si>
  <si>
    <t>Caja de Carton de 20 lbs</t>
  </si>
  <si>
    <t xml:space="preserve">Caja de Carton de 30 lbs </t>
  </si>
  <si>
    <t>Caja de Carton de 10 lbs</t>
  </si>
  <si>
    <t>REPARACION DE SUSPENSIÓN DE CAMIONETA FORD</t>
  </si>
  <si>
    <t>SERVICIO Y FRENOS CAMIONETA MAZDA</t>
  </si>
  <si>
    <t>Tarima de Madera</t>
  </si>
  <si>
    <t>SERVICIO Y FRENOS AUTOMOVIL AVEO</t>
  </si>
  <si>
    <t>TOTAL FACTURAS YA NETO</t>
  </si>
  <si>
    <t>FACTURAS</t>
  </si>
  <si>
    <t>CIPSA (Control de Plagas)</t>
  </si>
  <si>
    <t>AVV (PAGO SANTANDER)</t>
  </si>
  <si>
    <t>EGRESOS</t>
  </si>
  <si>
    <t>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</si>
</sst>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[Red]\-#,##0.00\ "/>
    <numFmt numFmtId="165" formatCode="0.0000000000"/>
    <numFmt numFmtId="166" formatCode="0.0000000000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43" fontId="2" fillId="2" borderId="0" xfId="1" applyFont="1" applyFill="1"/>
    <xf numFmtId="43" fontId="0" fillId="2" borderId="0" xfId="1" applyFont="1" applyFill="1"/>
    <xf numFmtId="43" fontId="2" fillId="0" borderId="0" xfId="0" applyNumberFormat="1" applyFont="1"/>
    <xf numFmtId="43" fontId="0" fillId="3" borderId="0" xfId="1" applyFont="1" applyFill="1"/>
    <xf numFmtId="43" fontId="0" fillId="0" borderId="0" xfId="1" applyFont="1" applyFill="1"/>
    <xf numFmtId="4" fontId="0" fillId="4" borderId="0" xfId="0" applyNumberFormat="1" applyFill="1"/>
    <xf numFmtId="43" fontId="0" fillId="4" borderId="0" xfId="1" applyFont="1" applyFill="1"/>
    <xf numFmtId="164" fontId="2" fillId="0" borderId="0" xfId="1" applyNumberFormat="1" applyFont="1"/>
    <xf numFmtId="164" fontId="2" fillId="0" borderId="0" xfId="0" applyNumberFormat="1" applyFont="1"/>
    <xf numFmtId="0" fontId="2" fillId="5" borderId="0" xfId="0" applyFont="1" applyFill="1"/>
    <xf numFmtId="43" fontId="2" fillId="5" borderId="0" xfId="1" applyFont="1" applyFill="1"/>
    <xf numFmtId="44" fontId="2" fillId="0" borderId="0" xfId="2" applyFont="1"/>
    <xf numFmtId="43" fontId="0" fillId="6" borderId="0" xfId="1" applyFont="1" applyFill="1"/>
    <xf numFmtId="43" fontId="3" fillId="0" borderId="0" xfId="1" applyFont="1"/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8" fontId="2" fillId="0" borderId="0" xfId="1" applyNumberFormat="1" applyFont="1"/>
    <xf numFmtId="8" fontId="2" fillId="7" borderId="0" xfId="0" applyNumberFormat="1" applyFont="1" applyFill="1"/>
    <xf numFmtId="8" fontId="0" fillId="0" borderId="0" xfId="1" applyNumberFormat="1" applyFont="1"/>
    <xf numFmtId="44" fontId="2" fillId="0" borderId="0" xfId="2" applyFont="1" applyFill="1"/>
    <xf numFmtId="8" fontId="2" fillId="0" borderId="0" xfId="1" applyNumberFormat="1" applyFont="1" applyFill="1"/>
    <xf numFmtId="43" fontId="2" fillId="0" borderId="0" xfId="1" applyFont="1" applyFill="1"/>
    <xf numFmtId="8" fontId="2" fillId="0" borderId="0" xfId="0" applyNumberFormat="1" applyFont="1"/>
    <xf numFmtId="8" fontId="0" fillId="0" borderId="0" xfId="1" applyNumberFormat="1" applyFont="1" applyFill="1"/>
    <xf numFmtId="164" fontId="4" fillId="0" borderId="0" xfId="1" applyNumberFormat="1" applyFont="1"/>
    <xf numFmtId="4" fontId="0" fillId="0" borderId="0" xfId="0" applyNumberFormat="1"/>
    <xf numFmtId="43" fontId="4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4" fontId="2" fillId="6" borderId="0" xfId="2" applyFont="1" applyFill="1"/>
    <xf numFmtId="0" fontId="0" fillId="8" borderId="0" xfId="0" applyFill="1"/>
    <xf numFmtId="44" fontId="2" fillId="9" borderId="0" xfId="2" applyFont="1" applyFill="1"/>
    <xf numFmtId="44" fontId="4" fillId="2" borderId="0" xfId="2" applyFont="1" applyFill="1"/>
    <xf numFmtId="43" fontId="5" fillId="0" borderId="0" xfId="1" applyFont="1"/>
    <xf numFmtId="43" fontId="0" fillId="10" borderId="0" xfId="1" applyFont="1" applyFill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43" fontId="2" fillId="6" borderId="0" xfId="1" applyFont="1" applyFill="1"/>
    <xf numFmtId="43" fontId="0" fillId="11" borderId="0" xfId="1" applyFont="1" applyFill="1"/>
    <xf numFmtId="43" fontId="0" fillId="9" borderId="0" xfId="1" applyFont="1" applyFill="1"/>
    <xf numFmtId="43" fontId="4" fillId="0" borderId="0" xfId="1" applyFont="1" applyFill="1" applyAlignment="1">
      <alignment horizontal="center"/>
    </xf>
    <xf numFmtId="164" fontId="0" fillId="0" borderId="0" xfId="1" applyNumberFormat="1" applyFont="1" applyFill="1"/>
    <xf numFmtId="43" fontId="0" fillId="12" borderId="0" xfId="1" applyFont="1" applyFill="1"/>
    <xf numFmtId="43" fontId="0" fillId="0" borderId="0" xfId="0" applyNumberFormat="1"/>
    <xf numFmtId="14" fontId="0" fillId="0" borderId="0" xfId="0" applyNumberFormat="1"/>
    <xf numFmtId="0" fontId="0" fillId="11" borderId="0" xfId="0" applyFill="1"/>
    <xf numFmtId="43" fontId="0" fillId="13" borderId="0" xfId="1" applyFont="1" applyFill="1"/>
    <xf numFmtId="14" fontId="0" fillId="0" borderId="0" xfId="1" applyNumberFormat="1" applyFont="1"/>
    <xf numFmtId="43" fontId="0" fillId="7" borderId="0" xfId="1" applyFont="1" applyFill="1"/>
    <xf numFmtId="0" fontId="0" fillId="9" borderId="0" xfId="0" applyFill="1"/>
    <xf numFmtId="0" fontId="0" fillId="13" borderId="0" xfId="0" applyFill="1"/>
    <xf numFmtId="44" fontId="0" fillId="0" borderId="0" xfId="2" applyFont="1"/>
    <xf numFmtId="43" fontId="1" fillId="0" borderId="0" xfId="1" applyFont="1"/>
    <xf numFmtId="164" fontId="1" fillId="0" borderId="0" xfId="1" applyNumberFormat="1" applyFont="1"/>
    <xf numFmtId="14" fontId="0" fillId="4" borderId="0" xfId="1" applyNumberFormat="1" applyFont="1" applyFill="1"/>
    <xf numFmtId="0" fontId="0" fillId="7" borderId="0" xfId="0" applyFill="1"/>
    <xf numFmtId="164" fontId="0" fillId="0" borderId="8" xfId="0" applyNumberFormat="1" applyBorder="1"/>
    <xf numFmtId="164" fontId="0" fillId="0" borderId="1" xfId="1" applyNumberFormat="1" applyFont="1" applyBorder="1"/>
    <xf numFmtId="164" fontId="0" fillId="2" borderId="2" xfId="1" applyNumberFormat="1" applyFont="1" applyFill="1" applyBorder="1"/>
    <xf numFmtId="164" fontId="0" fillId="0" borderId="3" xfId="0" applyNumberFormat="1" applyBorder="1"/>
    <xf numFmtId="164" fontId="0" fillId="0" borderId="4" xfId="1" applyNumberFormat="1" applyFont="1" applyBorder="1"/>
    <xf numFmtId="164" fontId="0" fillId="0" borderId="0" xfId="1" applyNumberFormat="1" applyFont="1" applyBorder="1"/>
    <xf numFmtId="164" fontId="0" fillId="0" borderId="5" xfId="0" applyNumberFormat="1" applyBorder="1"/>
    <xf numFmtId="164" fontId="0" fillId="0" borderId="5" xfId="1" applyNumberFormat="1" applyFont="1" applyBorder="1"/>
    <xf numFmtId="164" fontId="0" fillId="0" borderId="0" xfId="1" applyNumberFormat="1" applyFont="1" applyFill="1" applyBorder="1"/>
    <xf numFmtId="164" fontId="2" fillId="0" borderId="4" xfId="1" applyNumberFormat="1" applyFont="1" applyBorder="1"/>
    <xf numFmtId="164" fontId="2" fillId="0" borderId="0" xfId="1" applyNumberFormat="1" applyFont="1" applyBorder="1"/>
    <xf numFmtId="164" fontId="0" fillId="0" borderId="6" xfId="1" applyNumberFormat="1" applyFont="1" applyBorder="1"/>
    <xf numFmtId="164" fontId="2" fillId="0" borderId="7" xfId="1" applyNumberFormat="1" applyFont="1" applyBorder="1"/>
    <xf numFmtId="43" fontId="3" fillId="0" borderId="5" xfId="1" applyFont="1" applyBorder="1"/>
    <xf numFmtId="43" fontId="0" fillId="14" borderId="0" xfId="1" applyFont="1" applyFill="1"/>
    <xf numFmtId="14" fontId="0" fillId="13" borderId="0" xfId="1" applyNumberFormat="1" applyFont="1" applyFill="1"/>
    <xf numFmtId="43" fontId="7" fillId="0" borderId="0" xfId="1" applyFont="1"/>
    <xf numFmtId="43" fontId="3" fillId="0" borderId="0" xfId="1" applyFont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3481-2EF4-4EB0-8E55-EB7178C1DD7B}">
  <dimension ref="A1:Q66"/>
  <sheetViews>
    <sheetView tabSelected="1" workbookViewId="0">
      <selection activeCell="L3" sqref="L3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4" width="17.109375" style="1" customWidth="1"/>
    <col min="5" max="5" width="14.6640625" style="1" customWidth="1"/>
    <col min="6" max="6" width="12.44140625" style="8" bestFit="1" customWidth="1"/>
    <col min="7" max="7" width="12.44140625" style="1" bestFit="1" customWidth="1"/>
    <col min="8" max="8" width="4.6640625" style="8" customWidth="1"/>
    <col min="9" max="9" width="45.6640625" style="1" bestFit="1" customWidth="1"/>
    <col min="10" max="10" width="12.44140625" style="1" bestFit="1" customWidth="1"/>
    <col min="11" max="11" width="18.33203125" style="1" customWidth="1"/>
    <col min="12" max="12" width="12.33203125" bestFit="1" customWidth="1"/>
    <col min="13" max="13" width="11.33203125" style="1" bestFit="1" customWidth="1"/>
    <col min="14" max="14" width="26.44140625" customWidth="1"/>
    <col min="15" max="15" width="15.5546875" style="1" customWidth="1"/>
    <col min="16" max="16" width="11.5546875" style="1"/>
  </cols>
  <sheetData>
    <row r="1" spans="2:14" x14ac:dyDescent="0.3">
      <c r="B1" s="2" t="s">
        <v>293</v>
      </c>
      <c r="C1" s="30" t="s">
        <v>93</v>
      </c>
      <c r="D1" s="30"/>
      <c r="E1" s="30" t="s">
        <v>94</v>
      </c>
      <c r="F1" s="44"/>
      <c r="I1" s="3" t="s">
        <v>96</v>
      </c>
      <c r="L1" s="3"/>
      <c r="N1" s="1"/>
    </row>
    <row r="2" spans="2:14" x14ac:dyDescent="0.3">
      <c r="B2" t="s">
        <v>44</v>
      </c>
      <c r="C2" s="50">
        <v>110000</v>
      </c>
      <c r="D2" s="8"/>
      <c r="F2" s="44"/>
      <c r="I2" s="1" t="s">
        <v>261</v>
      </c>
      <c r="J2" s="1">
        <v>184700</v>
      </c>
      <c r="K2" s="75">
        <v>46168</v>
      </c>
      <c r="L2" s="47">
        <f>J2-(J2*0.042)</f>
        <v>176942.6</v>
      </c>
      <c r="N2" s="2"/>
    </row>
    <row r="3" spans="2:14" x14ac:dyDescent="0.3">
      <c r="B3" t="s">
        <v>307</v>
      </c>
      <c r="C3" s="8"/>
      <c r="D3" s="8"/>
      <c r="E3" s="8"/>
      <c r="F3" s="44"/>
      <c r="I3" s="1" t="s">
        <v>299</v>
      </c>
      <c r="K3" s="51"/>
      <c r="L3" s="47"/>
      <c r="N3" s="1"/>
    </row>
    <row r="4" spans="2:14" x14ac:dyDescent="0.3">
      <c r="B4" t="s">
        <v>308</v>
      </c>
      <c r="C4" s="8"/>
      <c r="D4" s="8"/>
      <c r="E4" s="8"/>
      <c r="F4" s="44"/>
      <c r="I4" s="1" t="s">
        <v>300</v>
      </c>
      <c r="J4" s="1">
        <v>127000</v>
      </c>
      <c r="K4" s="51">
        <v>46171</v>
      </c>
      <c r="L4" s="47"/>
      <c r="N4" s="2"/>
    </row>
    <row r="5" spans="2:14" x14ac:dyDescent="0.3">
      <c r="B5" t="s">
        <v>45</v>
      </c>
      <c r="C5" s="50">
        <f>J24</f>
        <v>25000</v>
      </c>
      <c r="F5" s="44"/>
      <c r="I5" s="1" t="s">
        <v>297</v>
      </c>
      <c r="L5" s="47"/>
      <c r="N5" s="2"/>
    </row>
    <row r="6" spans="2:14" x14ac:dyDescent="0.3">
      <c r="B6" t="s">
        <v>105</v>
      </c>
      <c r="C6" s="50">
        <f>(J2+J3+J4+J5+J6+J7)*0.042</f>
        <v>13091.400000000001</v>
      </c>
      <c r="D6" s="8"/>
      <c r="E6" s="8"/>
      <c r="F6" s="44"/>
      <c r="I6" s="1" t="s">
        <v>298</v>
      </c>
      <c r="K6" s="1">
        <v>68000</v>
      </c>
      <c r="L6" s="47">
        <f>SUM(K5:K6)</f>
        <v>68000</v>
      </c>
      <c r="N6" s="2"/>
    </row>
    <row r="7" spans="2:14" x14ac:dyDescent="0.3">
      <c r="B7" t="s">
        <v>276</v>
      </c>
      <c r="E7" s="8"/>
      <c r="F7" s="44"/>
      <c r="K7" s="51"/>
      <c r="L7" s="47"/>
      <c r="N7" s="2"/>
    </row>
    <row r="8" spans="2:14" x14ac:dyDescent="0.3">
      <c r="B8" t="s">
        <v>16</v>
      </c>
      <c r="E8" s="1">
        <v>40000</v>
      </c>
      <c r="J8" s="15">
        <f>SUM(J2:J7)</f>
        <v>311700</v>
      </c>
      <c r="N8" s="2"/>
    </row>
    <row r="9" spans="2:14" x14ac:dyDescent="0.3">
      <c r="B9" t="s">
        <v>256</v>
      </c>
      <c r="C9" s="8"/>
      <c r="D9" s="8"/>
      <c r="E9" s="8"/>
      <c r="I9" s="1" t="s">
        <v>90</v>
      </c>
      <c r="J9" s="35">
        <f>J8-C48</f>
        <v>-3020.9099999999744</v>
      </c>
      <c r="N9" s="2"/>
    </row>
    <row r="10" spans="2:14" x14ac:dyDescent="0.3">
      <c r="B10" s="33" t="s">
        <v>31</v>
      </c>
      <c r="C10" s="50">
        <v>10000</v>
      </c>
      <c r="N10" s="2"/>
    </row>
    <row r="11" spans="2:14" x14ac:dyDescent="0.3">
      <c r="B11" t="s">
        <v>156</v>
      </c>
      <c r="C11" s="8"/>
      <c r="D11" s="8"/>
      <c r="E11" s="8"/>
      <c r="I11" t="s">
        <v>189</v>
      </c>
      <c r="N11" s="2"/>
    </row>
    <row r="12" spans="2:14" x14ac:dyDescent="0.3">
      <c r="B12" t="s">
        <v>216</v>
      </c>
      <c r="E12" s="8">
        <v>32480</v>
      </c>
      <c r="I12" t="s">
        <v>64</v>
      </c>
      <c r="J12" s="56">
        <v>4000</v>
      </c>
      <c r="K12" s="1">
        <f>J12</f>
        <v>4000</v>
      </c>
      <c r="M12" s="3"/>
      <c r="N12" s="2"/>
    </row>
    <row r="13" spans="2:14" x14ac:dyDescent="0.3">
      <c r="B13" t="s">
        <v>333</v>
      </c>
      <c r="D13" s="8">
        <f>3886</f>
        <v>3886</v>
      </c>
      <c r="E13" s="8"/>
      <c r="G13" s="8"/>
      <c r="I13" t="s">
        <v>66</v>
      </c>
      <c r="J13" s="56">
        <v>3000</v>
      </c>
      <c r="K13" s="1">
        <f>J13</f>
        <v>3000</v>
      </c>
      <c r="N13" s="2"/>
    </row>
    <row r="14" spans="2:14" x14ac:dyDescent="0.3">
      <c r="B14" t="s">
        <v>212</v>
      </c>
      <c r="E14" s="8"/>
      <c r="I14" s="1" t="s">
        <v>311</v>
      </c>
      <c r="L14" s="47"/>
      <c r="N14" s="2"/>
    </row>
    <row r="15" spans="2:14" x14ac:dyDescent="0.3">
      <c r="B15" t="s">
        <v>281</v>
      </c>
      <c r="C15" s="50">
        <v>4172.1099999999997</v>
      </c>
      <c r="D15" s="8"/>
      <c r="E15" s="8"/>
      <c r="I15" t="s">
        <v>266</v>
      </c>
      <c r="J15" s="56">
        <v>1500</v>
      </c>
      <c r="K15" s="1">
        <f>J15</f>
        <v>1500</v>
      </c>
      <c r="N15" s="2"/>
    </row>
    <row r="16" spans="2:14" x14ac:dyDescent="0.3">
      <c r="B16" t="s">
        <v>289</v>
      </c>
      <c r="E16" s="8">
        <f>4476.15+4476.15</f>
        <v>8952.2999999999993</v>
      </c>
      <c r="I16" s="1" t="s">
        <v>296</v>
      </c>
      <c r="J16" s="56"/>
    </row>
    <row r="17" spans="1:17" x14ac:dyDescent="0.3">
      <c r="B17" t="s">
        <v>128</v>
      </c>
      <c r="E17" s="8">
        <v>2033</v>
      </c>
      <c r="I17" t="s">
        <v>67</v>
      </c>
      <c r="J17" s="56">
        <v>1950</v>
      </c>
    </row>
    <row r="18" spans="1:17" x14ac:dyDescent="0.3">
      <c r="B18" s="59" t="s">
        <v>302</v>
      </c>
      <c r="E18" s="8"/>
      <c r="I18" t="s">
        <v>294</v>
      </c>
      <c r="J18" s="56">
        <v>3500</v>
      </c>
      <c r="K18" s="3"/>
    </row>
    <row r="19" spans="1:17" x14ac:dyDescent="0.3">
      <c r="A19" t="s">
        <v>301</v>
      </c>
      <c r="B19" t="s">
        <v>170</v>
      </c>
      <c r="D19" s="8"/>
      <c r="E19" s="8">
        <v>8129.69</v>
      </c>
      <c r="G19" s="8"/>
      <c r="I19" s="1" t="s">
        <v>295</v>
      </c>
      <c r="J19" s="56">
        <v>2800</v>
      </c>
      <c r="K19" s="1">
        <f>J20</f>
        <v>3500</v>
      </c>
    </row>
    <row r="20" spans="1:17" x14ac:dyDescent="0.3">
      <c r="B20" s="53" t="s">
        <v>274</v>
      </c>
      <c r="C20" s="50">
        <v>1783</v>
      </c>
      <c r="D20" s="8"/>
      <c r="E20" s="8"/>
      <c r="I20" t="s">
        <v>22</v>
      </c>
      <c r="J20" s="57">
        <v>3500</v>
      </c>
      <c r="K20" s="1">
        <f>J21</f>
        <v>0</v>
      </c>
    </row>
    <row r="21" spans="1:17" s="1" customFormat="1" x14ac:dyDescent="0.3">
      <c r="A21"/>
      <c r="B21" s="53" t="s">
        <v>309</v>
      </c>
      <c r="C21" s="50">
        <f>3596</f>
        <v>3596</v>
      </c>
      <c r="D21" s="8"/>
      <c r="E21" s="8"/>
      <c r="F21" s="8"/>
      <c r="H21" s="8"/>
      <c r="J21" s="56"/>
      <c r="K21" s="3">
        <f>SUM(K12:K20)</f>
        <v>12000</v>
      </c>
      <c r="N21"/>
      <c r="Q21"/>
    </row>
    <row r="22" spans="1:17" s="1" customFormat="1" x14ac:dyDescent="0.3">
      <c r="A22"/>
      <c r="B22" t="s">
        <v>280</v>
      </c>
      <c r="C22" s="8"/>
      <c r="D22" s="8"/>
      <c r="E22" s="8"/>
      <c r="F22" s="8"/>
      <c r="H22" s="8"/>
      <c r="I22"/>
      <c r="J22" s="3">
        <f>SUM(J11:J21)</f>
        <v>20250</v>
      </c>
      <c r="L22"/>
      <c r="N22"/>
      <c r="Q22"/>
    </row>
    <row r="23" spans="1:17" s="1" customFormat="1" x14ac:dyDescent="0.3">
      <c r="A23"/>
      <c r="B23" t="s">
        <v>136</v>
      </c>
      <c r="E23" s="8">
        <v>60000</v>
      </c>
      <c r="F23" s="1">
        <f>47000</f>
        <v>47000</v>
      </c>
      <c r="H23" s="8"/>
      <c r="I23" t="s">
        <v>135</v>
      </c>
      <c r="J23" s="56">
        <v>4750</v>
      </c>
      <c r="L23" s="47"/>
      <c r="N23"/>
      <c r="Q23"/>
    </row>
    <row r="24" spans="1:17" s="1" customFormat="1" x14ac:dyDescent="0.3">
      <c r="B24" t="s">
        <v>226</v>
      </c>
      <c r="E24" s="8">
        <v>15000</v>
      </c>
      <c r="F24" s="8"/>
      <c r="G24" s="29"/>
      <c r="H24" s="8"/>
      <c r="I24"/>
      <c r="J24" s="3">
        <f>J22+J23</f>
        <v>25000</v>
      </c>
      <c r="L24"/>
      <c r="N24"/>
      <c r="Q24"/>
    </row>
    <row r="25" spans="1:17" s="1" customFormat="1" x14ac:dyDescent="0.3">
      <c r="B25" t="s">
        <v>109</v>
      </c>
      <c r="C25" s="8"/>
      <c r="D25" s="8"/>
      <c r="E25" s="8"/>
      <c r="F25" s="8"/>
      <c r="H25" s="8"/>
      <c r="L25"/>
      <c r="N25"/>
      <c r="Q25"/>
    </row>
    <row r="26" spans="1:17" s="1" customFormat="1" x14ac:dyDescent="0.3">
      <c r="B26" t="s">
        <v>249</v>
      </c>
      <c r="C26" s="8"/>
      <c r="D26" s="8"/>
      <c r="E26" s="8"/>
      <c r="F26" s="8"/>
      <c r="H26" s="8"/>
      <c r="I26">
        <f>85000+50000</f>
        <v>135000</v>
      </c>
      <c r="L26"/>
      <c r="N26">
        <v>165000</v>
      </c>
      <c r="Q26"/>
    </row>
    <row r="27" spans="1:17" s="1" customFormat="1" x14ac:dyDescent="0.3">
      <c r="B27" t="s">
        <v>18</v>
      </c>
      <c r="C27" s="50">
        <f>14592.86+11860.88</f>
        <v>26453.739999999998</v>
      </c>
      <c r="D27" s="8"/>
      <c r="G27" s="51">
        <v>46170</v>
      </c>
      <c r="H27" s="8"/>
      <c r="L27"/>
      <c r="N27">
        <v>25000</v>
      </c>
      <c r="Q27"/>
    </row>
    <row r="28" spans="1:17" s="1" customFormat="1" x14ac:dyDescent="0.3">
      <c r="B28" t="s">
        <v>18</v>
      </c>
      <c r="C28" s="8"/>
      <c r="D28" s="8"/>
      <c r="F28" s="8">
        <f>14592.86</f>
        <v>14592.86</v>
      </c>
      <c r="G28" s="51">
        <v>46201</v>
      </c>
      <c r="H28" s="8"/>
      <c r="L28"/>
      <c r="N28">
        <f>N26-N27</f>
        <v>140000</v>
      </c>
      <c r="Q28"/>
    </row>
    <row r="29" spans="1:17" s="1" customFormat="1" x14ac:dyDescent="0.3">
      <c r="B29" t="s">
        <v>217</v>
      </c>
      <c r="C29" s="8"/>
      <c r="D29" s="8"/>
      <c r="F29" s="8"/>
      <c r="H29" s="23"/>
      <c r="L29"/>
      <c r="N29"/>
      <c r="Q29"/>
    </row>
    <row r="30" spans="1:17" s="1" customFormat="1" x14ac:dyDescent="0.3">
      <c r="B30" t="s">
        <v>192</v>
      </c>
      <c r="C30" s="50">
        <v>15370</v>
      </c>
      <c r="D30" s="8"/>
      <c r="E30" s="8">
        <v>15370</v>
      </c>
      <c r="F30" s="8"/>
      <c r="H30" s="23"/>
      <c r="L30"/>
      <c r="N30"/>
      <c r="Q30"/>
    </row>
    <row r="31" spans="1:17" s="1" customFormat="1" x14ac:dyDescent="0.3">
      <c r="B31" t="s">
        <v>315</v>
      </c>
      <c r="C31" s="50">
        <v>15000</v>
      </c>
      <c r="D31" s="8"/>
      <c r="E31" s="8"/>
      <c r="F31" s="8"/>
      <c r="H31" s="23"/>
      <c r="L31"/>
      <c r="N31"/>
      <c r="Q31"/>
    </row>
    <row r="32" spans="1:17" s="1" customFormat="1" x14ac:dyDescent="0.3">
      <c r="B32" t="s">
        <v>315</v>
      </c>
      <c r="C32" s="50">
        <v>5000</v>
      </c>
      <c r="D32" s="8"/>
      <c r="E32" s="8"/>
      <c r="F32" s="8"/>
      <c r="H32" s="23"/>
      <c r="L32"/>
      <c r="N32"/>
      <c r="Q32"/>
    </row>
    <row r="33" spans="1:17" s="1" customFormat="1" x14ac:dyDescent="0.3">
      <c r="B33" t="s">
        <v>135</v>
      </c>
      <c r="C33" s="8"/>
      <c r="D33" s="8"/>
      <c r="F33" s="8"/>
      <c r="G33" s="8"/>
      <c r="H33" s="23"/>
      <c r="L33"/>
      <c r="N33"/>
      <c r="Q33"/>
    </row>
    <row r="34" spans="1:17" s="1" customFormat="1" x14ac:dyDescent="0.3">
      <c r="B34" t="s">
        <v>95</v>
      </c>
      <c r="C34" s="8"/>
      <c r="D34" s="8"/>
      <c r="F34" s="8"/>
      <c r="H34" s="23"/>
      <c r="I34" s="3" t="s">
        <v>288</v>
      </c>
      <c r="L34"/>
      <c r="N34"/>
      <c r="Q34"/>
    </row>
    <row r="35" spans="1:17" s="1" customFormat="1" x14ac:dyDescent="0.3">
      <c r="B35" t="s">
        <v>234</v>
      </c>
      <c r="C35" s="8"/>
      <c r="D35" s="8"/>
      <c r="E35" s="8"/>
      <c r="F35" s="8"/>
      <c r="H35" s="23"/>
      <c r="I35" s="3" t="s">
        <v>332</v>
      </c>
      <c r="L35"/>
      <c r="N35"/>
      <c r="Q35"/>
    </row>
    <row r="36" spans="1:17" x14ac:dyDescent="0.3">
      <c r="A36" s="1"/>
      <c r="B36" t="s">
        <v>263</v>
      </c>
      <c r="E36" s="8">
        <v>77738.850000000006</v>
      </c>
      <c r="H36" s="23"/>
      <c r="I36" s="1" t="s">
        <v>316</v>
      </c>
      <c r="J36" s="1">
        <v>12800</v>
      </c>
      <c r="K36" s="17">
        <v>12800</v>
      </c>
      <c r="N36" s="17" t="s">
        <v>291</v>
      </c>
    </row>
    <row r="37" spans="1:17" x14ac:dyDescent="0.3">
      <c r="A37" s="1"/>
      <c r="B37" s="54" t="s">
        <v>262</v>
      </c>
      <c r="C37" s="50">
        <v>31215.599999999999</v>
      </c>
      <c r="E37" s="8"/>
      <c r="H37" s="23"/>
      <c r="I37" s="1" t="s">
        <v>327</v>
      </c>
      <c r="J37" s="1">
        <v>12800</v>
      </c>
      <c r="K37" s="17">
        <v>12800</v>
      </c>
      <c r="N37" s="17" t="s">
        <v>291</v>
      </c>
    </row>
    <row r="38" spans="1:17" x14ac:dyDescent="0.3">
      <c r="A38" s="1"/>
      <c r="B38" s="54" t="s">
        <v>262</v>
      </c>
      <c r="C38" s="50">
        <f>9802</f>
        <v>9802</v>
      </c>
      <c r="D38" s="8"/>
      <c r="E38" s="8"/>
      <c r="H38" s="23"/>
      <c r="I38" s="1" t="s">
        <v>318</v>
      </c>
      <c r="J38" s="1">
        <v>19450</v>
      </c>
      <c r="K38" s="17">
        <v>19450</v>
      </c>
      <c r="N38" s="17" t="s">
        <v>291</v>
      </c>
    </row>
    <row r="39" spans="1:17" x14ac:dyDescent="0.3">
      <c r="A39" s="1"/>
      <c r="B39" s="54" t="s">
        <v>262</v>
      </c>
      <c r="C39" s="50">
        <f>16.9*1.16*700</f>
        <v>13722.799999999997</v>
      </c>
      <c r="D39" s="8"/>
      <c r="E39" s="8"/>
      <c r="H39" s="23"/>
      <c r="I39" s="1" t="s">
        <v>317</v>
      </c>
      <c r="J39" s="8">
        <v>17800</v>
      </c>
      <c r="K39" s="17">
        <v>17800</v>
      </c>
      <c r="M39" s="8"/>
      <c r="N39" s="17" t="s">
        <v>291</v>
      </c>
      <c r="O39" s="8"/>
      <c r="P39" s="8"/>
    </row>
    <row r="40" spans="1:17" x14ac:dyDescent="0.3">
      <c r="A40" s="1"/>
      <c r="B40" t="s">
        <v>239</v>
      </c>
      <c r="C40" s="50">
        <v>6086.26</v>
      </c>
      <c r="D40" s="8"/>
      <c r="E40" s="8"/>
      <c r="H40" s="23"/>
      <c r="I40" s="1" t="s">
        <v>328</v>
      </c>
      <c r="J40" s="1">
        <v>9850</v>
      </c>
      <c r="K40" s="17">
        <v>9850</v>
      </c>
      <c r="L40" s="55"/>
    </row>
    <row r="41" spans="1:17" x14ac:dyDescent="0.3">
      <c r="A41" s="1"/>
      <c r="B41" t="s">
        <v>48</v>
      </c>
      <c r="C41" s="8"/>
      <c r="D41" s="8"/>
      <c r="E41" s="8"/>
      <c r="H41" s="23"/>
      <c r="I41" s="1" t="s">
        <v>330</v>
      </c>
      <c r="J41" s="1">
        <v>5500</v>
      </c>
      <c r="K41" s="17">
        <v>5500</v>
      </c>
      <c r="L41" s="17">
        <f>40000*1.16</f>
        <v>46400</v>
      </c>
    </row>
    <row r="42" spans="1:17" x14ac:dyDescent="0.3">
      <c r="A42" s="1"/>
      <c r="B42" t="s">
        <v>240</v>
      </c>
      <c r="C42" s="8"/>
      <c r="D42" s="8"/>
      <c r="E42" s="8"/>
      <c r="H42" s="23"/>
      <c r="J42" s="3">
        <f>SUM(J36:J41)</f>
        <v>78200</v>
      </c>
      <c r="K42" s="3">
        <f>SUM(K36:K41)</f>
        <v>78200</v>
      </c>
      <c r="N42" s="1">
        <f>J42*0.065</f>
        <v>5083</v>
      </c>
      <c r="O42" s="1" t="s">
        <v>319</v>
      </c>
    </row>
    <row r="43" spans="1:17" s="1" customFormat="1" x14ac:dyDescent="0.3">
      <c r="B43" t="s">
        <v>126</v>
      </c>
      <c r="C43" s="8"/>
      <c r="D43" s="8"/>
      <c r="E43" s="8"/>
      <c r="F43" s="8"/>
      <c r="H43" s="23"/>
      <c r="N43"/>
      <c r="Q43"/>
    </row>
    <row r="44" spans="1:17" s="1" customFormat="1" x14ac:dyDescent="0.3">
      <c r="B44" t="s">
        <v>50</v>
      </c>
      <c r="C44" s="8"/>
      <c r="D44" s="8"/>
      <c r="E44" s="8"/>
      <c r="F44" s="29">
        <v>49247.8</v>
      </c>
      <c r="H44" s="23"/>
      <c r="N44"/>
      <c r="Q44"/>
    </row>
    <row r="45" spans="1:17" s="1" customFormat="1" x14ac:dyDescent="0.3">
      <c r="B45" t="s">
        <v>277</v>
      </c>
      <c r="C45" s="8"/>
      <c r="D45" s="8"/>
      <c r="F45" s="8"/>
      <c r="G45" s="8"/>
      <c r="I45" s="3" t="s">
        <v>332</v>
      </c>
      <c r="J45" s="3" t="s">
        <v>160</v>
      </c>
      <c r="K45" s="3" t="s">
        <v>321</v>
      </c>
      <c r="L45" s="3" t="s">
        <v>322</v>
      </c>
      <c r="M45" s="3" t="s">
        <v>161</v>
      </c>
      <c r="Q45"/>
    </row>
    <row r="46" spans="1:17" s="1" customFormat="1" x14ac:dyDescent="0.3">
      <c r="B46" t="s">
        <v>176</v>
      </c>
      <c r="C46" s="50">
        <v>11000</v>
      </c>
      <c r="D46" s="8"/>
      <c r="F46" s="8"/>
      <c r="G46" s="8"/>
      <c r="I46" s="1" t="s">
        <v>325</v>
      </c>
      <c r="J46" s="1">
        <v>4000</v>
      </c>
      <c r="K46" s="1" t="s">
        <v>320</v>
      </c>
      <c r="L46" s="1">
        <f>16.9*1.16</f>
        <v>19.603999999999996</v>
      </c>
      <c r="M46" s="1">
        <f>J46*L46</f>
        <v>78415.999999999985</v>
      </c>
      <c r="N46" s="17">
        <v>231839.34</v>
      </c>
    </row>
    <row r="47" spans="1:17" s="1" customFormat="1" x14ac:dyDescent="0.3">
      <c r="A47" s="8"/>
      <c r="B47" s="8" t="s">
        <v>279</v>
      </c>
      <c r="C47" s="50">
        <v>13428</v>
      </c>
      <c r="E47" s="8"/>
      <c r="F47" s="8"/>
      <c r="H47" s="23"/>
      <c r="I47" s="1" t="s">
        <v>324</v>
      </c>
      <c r="J47" s="1">
        <v>4000</v>
      </c>
      <c r="K47" s="1" t="s">
        <v>320</v>
      </c>
      <c r="L47" s="1">
        <f>15.75*1.16</f>
        <v>18.27</v>
      </c>
      <c r="M47" s="1">
        <f>J47*L47</f>
        <v>73080</v>
      </c>
      <c r="N47" s="17"/>
      <c r="Q47"/>
    </row>
    <row r="48" spans="1:17" s="1" customFormat="1" x14ac:dyDescent="0.3">
      <c r="A48"/>
      <c r="B48"/>
      <c r="C48" s="15">
        <f>SUM(C2:C47)</f>
        <v>314720.90999999997</v>
      </c>
      <c r="D48" s="15">
        <f>SUM(D2:D47)</f>
        <v>3886</v>
      </c>
      <c r="E48" s="34">
        <f>SUM(E2:E47)</f>
        <v>259703.84</v>
      </c>
      <c r="F48" s="15">
        <f>SUM(F2:F47)</f>
        <v>110840.66</v>
      </c>
      <c r="G48" s="15"/>
      <c r="H48" s="23"/>
      <c r="I48" s="1" t="s">
        <v>326</v>
      </c>
      <c r="J48" s="1">
        <v>7000</v>
      </c>
      <c r="K48" s="1" t="s">
        <v>320</v>
      </c>
      <c r="L48" s="1">
        <f>9.9*1.16</f>
        <v>11.484</v>
      </c>
      <c r="M48" s="1">
        <f>J48*L48</f>
        <v>80388</v>
      </c>
      <c r="N48" s="17"/>
    </row>
    <row r="49" spans="1:17" s="1" customFormat="1" x14ac:dyDescent="0.3">
      <c r="A49"/>
      <c r="B49"/>
      <c r="C49" s="38"/>
      <c r="D49" s="38"/>
      <c r="F49" s="45"/>
      <c r="H49" s="8"/>
      <c r="I49" s="1" t="s">
        <v>323</v>
      </c>
      <c r="J49" s="1">
        <v>40</v>
      </c>
      <c r="K49" s="1" t="s">
        <v>320</v>
      </c>
      <c r="L49" s="1">
        <f>130*1.16</f>
        <v>150.79999999999998</v>
      </c>
      <c r="M49" s="1">
        <f>J49*L49</f>
        <v>6031.9999999999991</v>
      </c>
      <c r="N49" s="77">
        <v>34546.99</v>
      </c>
    </row>
    <row r="50" spans="1:17" s="1" customFormat="1" x14ac:dyDescent="0.3">
      <c r="A50"/>
      <c r="B50"/>
      <c r="C50" s="38"/>
      <c r="D50" s="38"/>
      <c r="F50" s="45"/>
      <c r="H50" s="8"/>
      <c r="I50" s="1" t="s">
        <v>329</v>
      </c>
      <c r="J50" s="1">
        <v>100</v>
      </c>
      <c r="K50" s="1" t="s">
        <v>320</v>
      </c>
      <c r="L50" s="1">
        <v>285.14999999999998</v>
      </c>
      <c r="M50" s="1">
        <f>J50*L50</f>
        <v>28514.999999999996</v>
      </c>
      <c r="N50" s="77"/>
    </row>
    <row r="51" spans="1:17" x14ac:dyDescent="0.3">
      <c r="B51" s="1"/>
      <c r="F51" s="45"/>
      <c r="L51" s="55"/>
    </row>
    <row r="52" spans="1:17" x14ac:dyDescent="0.3">
      <c r="B52" s="1"/>
      <c r="C52" s="8"/>
      <c r="D52" s="8"/>
      <c r="F52" s="45"/>
      <c r="L52" s="55"/>
      <c r="M52" s="3">
        <f>SUM(M46:M51)</f>
        <v>266431</v>
      </c>
      <c r="N52" s="47">
        <f>SUM(N46:N51)</f>
        <v>266386.33</v>
      </c>
    </row>
    <row r="53" spans="1:17" s="1" customFormat="1" x14ac:dyDescent="0.3">
      <c r="B53"/>
      <c r="C53" s="8"/>
      <c r="D53" s="8"/>
      <c r="F53" s="45"/>
      <c r="H53" s="8"/>
      <c r="N53" s="47">
        <f>K42+N52</f>
        <v>344586.33</v>
      </c>
      <c r="Q53"/>
    </row>
    <row r="54" spans="1:17" s="1" customFormat="1" x14ac:dyDescent="0.3">
      <c r="A54"/>
      <c r="B54"/>
      <c r="C54" s="38"/>
      <c r="D54" s="38"/>
      <c r="F54" s="45"/>
      <c r="H54" s="8"/>
      <c r="J54" s="1">
        <f>J42</f>
        <v>78200</v>
      </c>
      <c r="N54"/>
      <c r="Q54"/>
    </row>
    <row r="55" spans="1:17" s="1" customFormat="1" x14ac:dyDescent="0.3">
      <c r="B55" s="49" t="s">
        <v>218</v>
      </c>
      <c r="C55" s="1" t="s">
        <v>219</v>
      </c>
      <c r="F55" s="45"/>
      <c r="H55" s="8"/>
      <c r="J55" s="1">
        <f>M52</f>
        <v>266431</v>
      </c>
      <c r="N55"/>
      <c r="Q55"/>
    </row>
    <row r="56" spans="1:17" s="1" customFormat="1" x14ac:dyDescent="0.3">
      <c r="B56" t="s">
        <v>220</v>
      </c>
      <c r="C56" s="1" t="s">
        <v>219</v>
      </c>
      <c r="F56" s="8"/>
      <c r="H56" s="8"/>
      <c r="I56" s="1" t="s">
        <v>331</v>
      </c>
      <c r="J56" s="3">
        <f>SUM(J54:J55)</f>
        <v>344631</v>
      </c>
      <c r="N56"/>
      <c r="Q56"/>
    </row>
    <row r="57" spans="1:17" s="1" customFormat="1" x14ac:dyDescent="0.3">
      <c r="B57" t="s">
        <v>221</v>
      </c>
      <c r="C57" s="1" t="s">
        <v>219</v>
      </c>
      <c r="E57" s="1">
        <f>25*50</f>
        <v>1250</v>
      </c>
      <c r="F57" s="8"/>
      <c r="H57" s="8"/>
      <c r="N57"/>
      <c r="Q57"/>
    </row>
    <row r="58" spans="1:17" s="1" customFormat="1" x14ac:dyDescent="0.3">
      <c r="A58"/>
      <c r="B58" t="s">
        <v>222</v>
      </c>
      <c r="C58" s="1" t="s">
        <v>219</v>
      </c>
      <c r="E58" s="1">
        <f>E57</f>
        <v>1250</v>
      </c>
      <c r="F58" s="8"/>
      <c r="H58" s="8"/>
      <c r="N58"/>
      <c r="Q58"/>
    </row>
    <row r="59" spans="1:17" x14ac:dyDescent="0.3">
      <c r="B59" t="s">
        <v>225</v>
      </c>
      <c r="C59" s="1" t="s">
        <v>223</v>
      </c>
      <c r="E59" s="1">
        <f>E57*5</f>
        <v>6250</v>
      </c>
      <c r="L59" s="1"/>
    </row>
    <row r="60" spans="1:17" x14ac:dyDescent="0.3">
      <c r="B60" t="s">
        <v>224</v>
      </c>
      <c r="C60" s="1" t="s">
        <v>223</v>
      </c>
      <c r="L60" s="55">
        <f>M60/1.16</f>
        <v>297095.68965517241</v>
      </c>
      <c r="M60" s="76">
        <f>J42+M52</f>
        <v>344631</v>
      </c>
    </row>
    <row r="61" spans="1:17" x14ac:dyDescent="0.3">
      <c r="L61" s="55">
        <f>L60*0.16</f>
        <v>47535.310344827587</v>
      </c>
    </row>
    <row r="62" spans="1:17" x14ac:dyDescent="0.3">
      <c r="L62" s="1">
        <f>SUM(L60:L61)</f>
        <v>344631</v>
      </c>
      <c r="M62" s="1">
        <f>M60*0.065</f>
        <v>22401.014999999999</v>
      </c>
    </row>
    <row r="63" spans="1:17" x14ac:dyDescent="0.3">
      <c r="L63" s="1"/>
    </row>
    <row r="65" spans="2:2" x14ac:dyDescent="0.3">
      <c r="B65" t="s">
        <v>192</v>
      </c>
    </row>
    <row r="66" spans="2:2" x14ac:dyDescent="0.3">
      <c r="B66" t="s">
        <v>333</v>
      </c>
    </row>
  </sheetData>
  <mergeCells count="1">
    <mergeCell ref="N49:N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D946-32F4-4361-AC50-2EA1AB69A8AB}">
  <dimension ref="A1:V60"/>
  <sheetViews>
    <sheetView workbookViewId="0">
      <selection activeCell="C22" sqref="C22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2.44140625" style="8" bestFit="1" customWidth="1"/>
    <col min="6" max="6" width="12.44140625" style="1" bestFit="1" customWidth="1"/>
    <col min="7" max="7" width="4.6640625" style="8" customWidth="1"/>
    <col min="8" max="8" width="27.33203125" style="1" customWidth="1"/>
    <col min="9" max="9" width="14.6640625" style="1" customWidth="1"/>
    <col min="10" max="10" width="18.33203125" style="1" customWidth="1"/>
    <col min="11" max="11" width="18.44140625" customWidth="1"/>
    <col min="12" max="12" width="14.6640625" style="1" customWidth="1"/>
    <col min="13" max="13" width="26.44140625" customWidth="1"/>
    <col min="14" max="14" width="15.5546875" style="1" customWidth="1"/>
    <col min="15" max="15" width="11.5546875" style="1"/>
  </cols>
  <sheetData>
    <row r="1" spans="2:13" x14ac:dyDescent="0.3">
      <c r="B1" s="2" t="s">
        <v>293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3" x14ac:dyDescent="0.3">
      <c r="B2" t="s">
        <v>44</v>
      </c>
      <c r="C2" s="50">
        <v>110000</v>
      </c>
      <c r="D2" s="8">
        <f>110000-C2</f>
        <v>0</v>
      </c>
      <c r="H2" s="1" t="s">
        <v>261</v>
      </c>
      <c r="J2" s="51"/>
      <c r="K2" s="47"/>
      <c r="M2" s="2"/>
    </row>
    <row r="3" spans="2:13" x14ac:dyDescent="0.3">
      <c r="B3" t="s">
        <v>307</v>
      </c>
      <c r="C3" s="50">
        <v>10000</v>
      </c>
      <c r="D3" s="8"/>
      <c r="H3" s="1" t="s">
        <v>299</v>
      </c>
      <c r="I3" s="1">
        <v>206448</v>
      </c>
      <c r="J3" s="58">
        <v>46164</v>
      </c>
      <c r="K3" s="47">
        <f>I3*0.042</f>
        <v>8670.8160000000007</v>
      </c>
      <c r="L3" s="1">
        <f>I3-K3</f>
        <v>197777.18400000001</v>
      </c>
      <c r="M3" s="2"/>
    </row>
    <row r="4" spans="2:13" x14ac:dyDescent="0.3">
      <c r="B4" t="s">
        <v>308</v>
      </c>
      <c r="D4" s="50">
        <v>20000</v>
      </c>
      <c r="H4" s="1" t="s">
        <v>300</v>
      </c>
      <c r="J4" s="51"/>
      <c r="K4" s="47"/>
      <c r="M4" s="2"/>
    </row>
    <row r="5" spans="2:13" x14ac:dyDescent="0.3">
      <c r="B5" t="s">
        <v>45</v>
      </c>
      <c r="C5" s="50">
        <f>I23</f>
        <v>27000</v>
      </c>
      <c r="H5" s="1" t="s">
        <v>297</v>
      </c>
      <c r="J5" s="51"/>
      <c r="K5" s="47"/>
      <c r="M5" s="2"/>
    </row>
    <row r="6" spans="2:13" x14ac:dyDescent="0.3">
      <c r="B6" t="s">
        <v>105</v>
      </c>
      <c r="C6" s="50">
        <f>(I3+I2+I5+I6)*0.042</f>
        <v>8670.8160000000007</v>
      </c>
      <c r="H6" s="1" t="s">
        <v>298</v>
      </c>
      <c r="J6" s="51"/>
      <c r="K6" s="47"/>
      <c r="M6" s="2"/>
    </row>
    <row r="7" spans="2:13" x14ac:dyDescent="0.3">
      <c r="B7" t="s">
        <v>276</v>
      </c>
      <c r="D7" s="8"/>
      <c r="J7" s="51"/>
      <c r="K7" s="47"/>
      <c r="M7" s="2"/>
    </row>
    <row r="8" spans="2:13" x14ac:dyDescent="0.3">
      <c r="B8" t="s">
        <v>16</v>
      </c>
      <c r="D8" s="8"/>
      <c r="I8" s="15">
        <f>SUM(I2:I7)</f>
        <v>206448</v>
      </c>
      <c r="J8" s="51"/>
      <c r="M8" s="2"/>
    </row>
    <row r="9" spans="2:13" x14ac:dyDescent="0.3">
      <c r="B9" t="s">
        <v>256</v>
      </c>
      <c r="C9" s="8"/>
      <c r="D9" s="8"/>
      <c r="H9" s="1" t="s">
        <v>90</v>
      </c>
      <c r="I9" s="35">
        <f>I8-C46</f>
        <v>20025.983999999997</v>
      </c>
      <c r="J9" s="51"/>
      <c r="M9" s="2"/>
    </row>
    <row r="10" spans="2:13" x14ac:dyDescent="0.3">
      <c r="B10" s="33" t="s">
        <v>31</v>
      </c>
      <c r="D10" s="50">
        <v>10000</v>
      </c>
      <c r="M10" s="2"/>
    </row>
    <row r="11" spans="2:13" x14ac:dyDescent="0.3">
      <c r="B11" t="s">
        <v>156</v>
      </c>
      <c r="C11" s="8"/>
      <c r="D11" s="8"/>
      <c r="H11" t="s">
        <v>189</v>
      </c>
      <c r="M11" s="2"/>
    </row>
    <row r="12" spans="2:13" x14ac:dyDescent="0.3">
      <c r="B12" t="s">
        <v>216</v>
      </c>
      <c r="C12" s="8"/>
      <c r="D12" s="8"/>
      <c r="E12" s="8">
        <v>32480</v>
      </c>
      <c r="H12" t="s">
        <v>64</v>
      </c>
      <c r="I12" s="56">
        <v>4000</v>
      </c>
      <c r="L12" s="3"/>
      <c r="M12" s="2"/>
    </row>
    <row r="13" spans="2:13" x14ac:dyDescent="0.3">
      <c r="B13" t="s">
        <v>8</v>
      </c>
      <c r="C13" s="8"/>
      <c r="D13" s="5">
        <f>3886</f>
        <v>3886</v>
      </c>
      <c r="F13" s="8"/>
      <c r="H13" t="s">
        <v>66</v>
      </c>
      <c r="I13" s="56">
        <v>3000</v>
      </c>
      <c r="M13" s="2"/>
    </row>
    <row r="14" spans="2:13" x14ac:dyDescent="0.3">
      <c r="B14" t="s">
        <v>212</v>
      </c>
      <c r="H14" t="s">
        <v>311</v>
      </c>
      <c r="I14" s="1">
        <f>1500+300+50</f>
        <v>1850</v>
      </c>
      <c r="K14" s="47"/>
      <c r="M14" s="2"/>
    </row>
    <row r="15" spans="2:13" x14ac:dyDescent="0.3">
      <c r="B15" t="s">
        <v>314</v>
      </c>
      <c r="C15" s="50">
        <v>1044</v>
      </c>
      <c r="H15" t="s">
        <v>266</v>
      </c>
      <c r="I15" s="56">
        <v>3400</v>
      </c>
      <c r="M15" s="2"/>
    </row>
    <row r="16" spans="2:13" x14ac:dyDescent="0.3">
      <c r="B16" t="s">
        <v>281</v>
      </c>
      <c r="C16" s="8"/>
      <c r="D16" s="5">
        <v>3596.65</v>
      </c>
      <c r="H16" t="s">
        <v>296</v>
      </c>
      <c r="I16" s="56"/>
    </row>
    <row r="17" spans="1:16" x14ac:dyDescent="0.3">
      <c r="B17" t="s">
        <v>289</v>
      </c>
      <c r="D17" s="50">
        <f>4476.15+4476.15</f>
        <v>8952.2999999999993</v>
      </c>
      <c r="H17" t="s">
        <v>67</v>
      </c>
      <c r="I17" s="56">
        <v>1950</v>
      </c>
    </row>
    <row r="18" spans="1:16" x14ac:dyDescent="0.3">
      <c r="B18" t="s">
        <v>128</v>
      </c>
      <c r="D18" s="10">
        <v>2033</v>
      </c>
      <c r="H18" t="s">
        <v>22</v>
      </c>
      <c r="I18" s="56">
        <v>3500</v>
      </c>
    </row>
    <row r="19" spans="1:16" x14ac:dyDescent="0.3">
      <c r="B19" s="59" t="s">
        <v>302</v>
      </c>
      <c r="D19" s="8"/>
      <c r="H19" t="s">
        <v>294</v>
      </c>
      <c r="I19" s="57">
        <v>3500</v>
      </c>
    </row>
    <row r="20" spans="1:16" x14ac:dyDescent="0.3">
      <c r="A20" t="s">
        <v>301</v>
      </c>
      <c r="B20" t="s">
        <v>170</v>
      </c>
      <c r="C20" s="8"/>
      <c r="D20" s="5">
        <v>8129.69</v>
      </c>
      <c r="F20" s="8"/>
      <c r="H20" t="s">
        <v>295</v>
      </c>
      <c r="I20" s="56">
        <v>2300</v>
      </c>
    </row>
    <row r="21" spans="1:16" s="1" customFormat="1" x14ac:dyDescent="0.3">
      <c r="A21"/>
      <c r="B21" s="53" t="s">
        <v>310</v>
      </c>
      <c r="C21" s="50">
        <v>7134</v>
      </c>
      <c r="D21" s="8"/>
      <c r="E21" s="8"/>
      <c r="G21" s="8"/>
      <c r="I21" s="3">
        <f>SUM(I11:I20)</f>
        <v>23500</v>
      </c>
      <c r="M21"/>
      <c r="P21"/>
    </row>
    <row r="22" spans="1:16" s="1" customFormat="1" x14ac:dyDescent="0.3">
      <c r="A22"/>
      <c r="B22" s="53" t="s">
        <v>309</v>
      </c>
      <c r="C22" s="50">
        <f>3596</f>
        <v>3596</v>
      </c>
      <c r="D22" s="8"/>
      <c r="E22" s="8"/>
      <c r="G22" s="8"/>
      <c r="H22" t="s">
        <v>135</v>
      </c>
      <c r="I22" s="56">
        <v>3500</v>
      </c>
      <c r="K22"/>
      <c r="M22"/>
      <c r="P22"/>
    </row>
    <row r="23" spans="1:16" s="1" customFormat="1" x14ac:dyDescent="0.3">
      <c r="A23"/>
      <c r="B23" t="s">
        <v>280</v>
      </c>
      <c r="C23" s="8"/>
      <c r="D23" s="8"/>
      <c r="E23" s="8"/>
      <c r="G23" s="8"/>
      <c r="H23"/>
      <c r="I23" s="3">
        <f>I21+I22</f>
        <v>27000</v>
      </c>
      <c r="K23" s="47"/>
      <c r="M23"/>
      <c r="P23"/>
    </row>
    <row r="24" spans="1:16" s="1" customFormat="1" ht="15" thickBot="1" x14ac:dyDescent="0.35">
      <c r="A24"/>
      <c r="B24" t="s">
        <v>136</v>
      </c>
      <c r="C24" s="8"/>
      <c r="D24" s="8"/>
      <c r="E24" s="1">
        <f>47000</f>
        <v>47000</v>
      </c>
      <c r="G24" s="8"/>
      <c r="K24"/>
      <c r="M24"/>
      <c r="P24"/>
    </row>
    <row r="25" spans="1:16" s="1" customFormat="1" x14ac:dyDescent="0.3">
      <c r="B25" t="s">
        <v>226</v>
      </c>
      <c r="C25" s="8"/>
      <c r="D25" s="8"/>
      <c r="E25" s="8"/>
      <c r="F25" s="29"/>
      <c r="G25" s="8"/>
      <c r="H25"/>
      <c r="I25" s="61" t="s">
        <v>304</v>
      </c>
      <c r="J25" s="62">
        <v>40000</v>
      </c>
      <c r="K25" s="63"/>
      <c r="M25"/>
      <c r="P25"/>
    </row>
    <row r="26" spans="1:16" s="1" customFormat="1" x14ac:dyDescent="0.3">
      <c r="B26" t="s">
        <v>109</v>
      </c>
      <c r="C26" s="8"/>
      <c r="D26" s="8"/>
      <c r="E26" s="8"/>
      <c r="G26" s="8"/>
      <c r="I26" s="64" t="s">
        <v>1</v>
      </c>
      <c r="J26" s="65">
        <v>26500</v>
      </c>
      <c r="K26" s="66" t="s">
        <v>35</v>
      </c>
      <c r="M26">
        <v>165000</v>
      </c>
      <c r="P26"/>
    </row>
    <row r="27" spans="1:16" s="1" customFormat="1" x14ac:dyDescent="0.3">
      <c r="B27" t="s">
        <v>249</v>
      </c>
      <c r="C27" s="8"/>
      <c r="D27" s="8"/>
      <c r="E27" s="8"/>
      <c r="G27" s="8"/>
      <c r="I27" s="64"/>
      <c r="J27" s="65"/>
      <c r="K27" s="67"/>
      <c r="M27">
        <v>25000</v>
      </c>
      <c r="P27"/>
    </row>
    <row r="28" spans="1:16" s="1" customFormat="1" x14ac:dyDescent="0.3">
      <c r="B28" t="s">
        <v>18</v>
      </c>
      <c r="D28" s="74">
        <f>14592.86+11860.88</f>
        <v>26453.739999999998</v>
      </c>
      <c r="E28" s="8">
        <f>14592.86+11860.88</f>
        <v>26453.739999999998</v>
      </c>
      <c r="F28" s="51">
        <v>46170</v>
      </c>
      <c r="G28" s="8"/>
      <c r="I28" s="64" t="s">
        <v>303</v>
      </c>
      <c r="J28" s="68">
        <v>50000</v>
      </c>
      <c r="K28" s="66" t="s">
        <v>35</v>
      </c>
      <c r="M28">
        <f>M26-M27</f>
        <v>140000</v>
      </c>
      <c r="P28"/>
    </row>
    <row r="29" spans="1:16" s="1" customFormat="1" x14ac:dyDescent="0.3">
      <c r="B29" t="s">
        <v>18</v>
      </c>
      <c r="C29" s="8"/>
      <c r="E29" s="8">
        <f>14592.86</f>
        <v>14592.86</v>
      </c>
      <c r="F29" s="51">
        <v>46201</v>
      </c>
      <c r="G29" s="8"/>
      <c r="I29" s="64" t="s">
        <v>283</v>
      </c>
      <c r="J29" s="68">
        <v>12500</v>
      </c>
      <c r="K29" s="73" t="s">
        <v>291</v>
      </c>
      <c r="M29"/>
      <c r="P29"/>
    </row>
    <row r="30" spans="1:16" s="1" customFormat="1" x14ac:dyDescent="0.3">
      <c r="B30" t="s">
        <v>217</v>
      </c>
      <c r="C30" s="8"/>
      <c r="D30" s="8"/>
      <c r="E30" s="8"/>
      <c r="G30" s="23"/>
      <c r="I30" s="64" t="s">
        <v>284</v>
      </c>
      <c r="J30" s="68">
        <v>42500</v>
      </c>
      <c r="K30" s="73" t="s">
        <v>291</v>
      </c>
      <c r="M30"/>
      <c r="P30"/>
    </row>
    <row r="31" spans="1:16" s="1" customFormat="1" x14ac:dyDescent="0.3">
      <c r="B31" t="s">
        <v>192</v>
      </c>
      <c r="D31" s="5">
        <v>15370</v>
      </c>
      <c r="E31" s="8">
        <v>15370</v>
      </c>
      <c r="G31" s="23"/>
      <c r="I31" s="64" t="s">
        <v>66</v>
      </c>
      <c r="J31" s="68">
        <v>26500</v>
      </c>
      <c r="K31" s="73" t="s">
        <v>291</v>
      </c>
      <c r="M31"/>
      <c r="P31"/>
    </row>
    <row r="32" spans="1:16" s="1" customFormat="1" x14ac:dyDescent="0.3">
      <c r="B32" t="s">
        <v>312</v>
      </c>
      <c r="C32" s="50">
        <v>2729</v>
      </c>
      <c r="D32" s="8"/>
      <c r="E32" s="8"/>
      <c r="F32" s="8"/>
      <c r="G32" s="23"/>
      <c r="I32" s="64" t="s">
        <v>306</v>
      </c>
      <c r="J32" s="68">
        <v>12500</v>
      </c>
      <c r="K32" s="73" t="s">
        <v>291</v>
      </c>
      <c r="M32"/>
      <c r="P32"/>
    </row>
    <row r="33" spans="1:22" s="1" customFormat="1" x14ac:dyDescent="0.3">
      <c r="B33" t="s">
        <v>95</v>
      </c>
      <c r="C33" s="8"/>
      <c r="E33" s="8"/>
      <c r="G33" s="23"/>
      <c r="I33" s="64"/>
      <c r="J33" s="68"/>
      <c r="K33" s="73"/>
      <c r="M33"/>
      <c r="P33"/>
    </row>
    <row r="34" spans="1:22" s="1" customFormat="1" x14ac:dyDescent="0.3">
      <c r="B34" t="s">
        <v>234</v>
      </c>
      <c r="C34" s="8"/>
      <c r="D34" s="8"/>
      <c r="E34" s="8"/>
      <c r="G34" s="23"/>
      <c r="I34" s="64"/>
      <c r="J34" s="65"/>
      <c r="K34" s="66"/>
      <c r="M34"/>
      <c r="P34"/>
    </row>
    <row r="35" spans="1:22" s="1" customFormat="1" x14ac:dyDescent="0.3">
      <c r="B35" t="s">
        <v>263</v>
      </c>
      <c r="E35" s="52">
        <v>77738.850000000006</v>
      </c>
      <c r="G35" s="23"/>
      <c r="I35" s="69" t="s">
        <v>305</v>
      </c>
      <c r="J35" s="70">
        <f>SUM(J28:J34)</f>
        <v>144000</v>
      </c>
      <c r="K35" s="67"/>
      <c r="M35"/>
      <c r="P35"/>
    </row>
    <row r="36" spans="1:22" ht="15" thickBot="1" x14ac:dyDescent="0.35">
      <c r="A36" s="1"/>
      <c r="B36" s="54" t="s">
        <v>262</v>
      </c>
      <c r="C36" s="50">
        <v>14697.2</v>
      </c>
      <c r="D36" s="8"/>
      <c r="G36" s="23"/>
      <c r="I36" s="71"/>
      <c r="J36" s="72">
        <f>J25+J26+J35</f>
        <v>210500</v>
      </c>
      <c r="K36" s="60">
        <f>197000-J36</f>
        <v>-13500</v>
      </c>
    </row>
    <row r="37" spans="1:22" x14ac:dyDescent="0.3">
      <c r="A37" s="1"/>
      <c r="B37" s="54" t="s">
        <v>262</v>
      </c>
      <c r="D37" s="8"/>
      <c r="G37" s="23"/>
    </row>
    <row r="38" spans="1:22" x14ac:dyDescent="0.3">
      <c r="A38" s="1"/>
      <c r="B38" s="54" t="s">
        <v>262</v>
      </c>
      <c r="C38" s="8"/>
      <c r="G38" s="23"/>
      <c r="H38" s="3" t="s">
        <v>288</v>
      </c>
      <c r="I38" s="1">
        <v>12800</v>
      </c>
      <c r="J38" s="17" t="s">
        <v>291</v>
      </c>
    </row>
    <row r="39" spans="1:22" x14ac:dyDescent="0.3">
      <c r="A39" s="1"/>
      <c r="B39" t="s">
        <v>239</v>
      </c>
      <c r="D39" s="37">
        <v>6086.26</v>
      </c>
      <c r="G39" s="23"/>
      <c r="I39" s="1">
        <v>12800</v>
      </c>
      <c r="J39" s="17" t="s">
        <v>291</v>
      </c>
      <c r="L39" s="8"/>
      <c r="N39" s="8"/>
      <c r="O39" s="8"/>
    </row>
    <row r="40" spans="1:22" x14ac:dyDescent="0.3">
      <c r="A40" s="1"/>
      <c r="B40" t="s">
        <v>48</v>
      </c>
      <c r="C40" s="8"/>
      <c r="D40" s="8"/>
      <c r="G40" s="23"/>
      <c r="I40" s="1">
        <v>19450</v>
      </c>
      <c r="J40" s="17" t="s">
        <v>291</v>
      </c>
      <c r="K40" s="55"/>
    </row>
    <row r="41" spans="1:22" x14ac:dyDescent="0.3">
      <c r="A41" s="1"/>
      <c r="B41" t="s">
        <v>240</v>
      </c>
      <c r="C41" s="8"/>
      <c r="D41" s="8"/>
      <c r="G41" s="23"/>
      <c r="H41" s="8"/>
      <c r="I41" s="8">
        <v>17800</v>
      </c>
      <c r="J41" s="17" t="s">
        <v>291</v>
      </c>
    </row>
    <row r="42" spans="1:22" x14ac:dyDescent="0.3">
      <c r="A42" s="1"/>
      <c r="B42" t="s">
        <v>126</v>
      </c>
      <c r="C42" s="8"/>
      <c r="D42" s="8"/>
      <c r="G42" s="23"/>
      <c r="I42" t="s">
        <v>50</v>
      </c>
      <c r="J42" s="8"/>
      <c r="K42" s="8"/>
      <c r="L42" s="29">
        <v>49247.8</v>
      </c>
      <c r="M42" s="1"/>
      <c r="N42" s="23"/>
      <c r="P42" s="1"/>
      <c r="Q42" s="1"/>
      <c r="S42" s="1"/>
      <c r="U42" s="1"/>
      <c r="V42" s="1"/>
    </row>
    <row r="43" spans="1:22" s="1" customFormat="1" x14ac:dyDescent="0.3">
      <c r="A43"/>
      <c r="B43" t="s">
        <v>313</v>
      </c>
      <c r="C43" s="50">
        <v>1551</v>
      </c>
      <c r="D43"/>
      <c r="E43"/>
      <c r="F43"/>
      <c r="G43"/>
      <c r="M43"/>
      <c r="P43"/>
    </row>
    <row r="44" spans="1:22" s="1" customFormat="1" x14ac:dyDescent="0.3">
      <c r="B44" t="s">
        <v>277</v>
      </c>
      <c r="C44" s="8"/>
      <c r="D44" s="8"/>
      <c r="E44" s="8"/>
      <c r="F44" s="8"/>
      <c r="G44" s="23"/>
      <c r="M44"/>
      <c r="P44"/>
    </row>
    <row r="45" spans="1:22" s="1" customFormat="1" x14ac:dyDescent="0.3">
      <c r="A45" s="8"/>
      <c r="B45" s="8" t="s">
        <v>279</v>
      </c>
      <c r="C45" s="8"/>
      <c r="D45" s="8">
        <v>13428</v>
      </c>
      <c r="E45" s="8"/>
      <c r="G45" s="23"/>
      <c r="J45" s="3" t="s">
        <v>269</v>
      </c>
      <c r="M45"/>
      <c r="P45"/>
    </row>
    <row r="46" spans="1:22" s="1" customFormat="1" x14ac:dyDescent="0.3">
      <c r="A46"/>
      <c r="B46"/>
      <c r="C46" s="15">
        <f>SUM(C2:C45)</f>
        <v>186422.016</v>
      </c>
      <c r="D46" s="34">
        <f>SUM(D2:D45)</f>
        <v>117935.64</v>
      </c>
      <c r="E46" s="15">
        <f>SUM(E2:E45)</f>
        <v>213635.44999999998</v>
      </c>
      <c r="F46" s="15"/>
      <c r="G46" s="8"/>
      <c r="J46" s="1" t="s">
        <v>270</v>
      </c>
      <c r="K46" s="55">
        <v>1300</v>
      </c>
      <c r="M46"/>
    </row>
    <row r="47" spans="1:22" s="1" customFormat="1" x14ac:dyDescent="0.3">
      <c r="A47"/>
      <c r="B47"/>
      <c r="C47" s="38"/>
      <c r="E47" s="45"/>
      <c r="G47" s="8"/>
      <c r="J47" s="1" t="s">
        <v>273</v>
      </c>
      <c r="K47" s="55">
        <v>1000</v>
      </c>
      <c r="M47"/>
      <c r="P47"/>
    </row>
    <row r="48" spans="1:22" s="1" customFormat="1" x14ac:dyDescent="0.3">
      <c r="A48"/>
      <c r="B48" s="8">
        <f>D39+C19+C22+C45</f>
        <v>9682.26</v>
      </c>
      <c r="C48" s="38"/>
      <c r="E48" s="45"/>
      <c r="G48" s="8"/>
      <c r="J48" s="1" t="s">
        <v>272</v>
      </c>
      <c r="K48" s="55">
        <v>800</v>
      </c>
      <c r="M48"/>
    </row>
    <row r="49" spans="1:16" s="1" customFormat="1" x14ac:dyDescent="0.3">
      <c r="A49"/>
      <c r="E49" s="45"/>
      <c r="G49" s="8"/>
      <c r="J49" s="1" t="s">
        <v>271</v>
      </c>
      <c r="K49" s="55">
        <v>700</v>
      </c>
      <c r="M49"/>
    </row>
    <row r="50" spans="1:16" s="1" customFormat="1" x14ac:dyDescent="0.3">
      <c r="A50"/>
      <c r="C50" s="8"/>
      <c r="E50" s="45"/>
      <c r="G50" s="8"/>
      <c r="K50"/>
      <c r="M50"/>
    </row>
    <row r="51" spans="1:16" x14ac:dyDescent="0.3">
      <c r="A51" s="1"/>
      <c r="C51" s="8"/>
      <c r="E51" s="45"/>
      <c r="K51" s="1"/>
    </row>
    <row r="52" spans="1:16" x14ac:dyDescent="0.3">
      <c r="C52" s="38"/>
      <c r="E52" s="45"/>
      <c r="K52" s="1"/>
    </row>
    <row r="53" spans="1:16" s="1" customFormat="1" x14ac:dyDescent="0.3">
      <c r="B53" s="49" t="s">
        <v>218</v>
      </c>
      <c r="C53" s="1" t="s">
        <v>219</v>
      </c>
      <c r="E53" s="45"/>
      <c r="G53" s="8"/>
      <c r="M53"/>
      <c r="P53"/>
    </row>
    <row r="54" spans="1:16" s="1" customFormat="1" x14ac:dyDescent="0.3">
      <c r="B54" t="s">
        <v>220</v>
      </c>
      <c r="C54" s="1" t="s">
        <v>219</v>
      </c>
      <c r="E54" s="8"/>
      <c r="G54" s="8"/>
      <c r="M54"/>
      <c r="P54"/>
    </row>
    <row r="55" spans="1:16" s="1" customFormat="1" x14ac:dyDescent="0.3">
      <c r="B55" t="s">
        <v>221</v>
      </c>
      <c r="C55" s="1" t="s">
        <v>219</v>
      </c>
      <c r="D55" s="1">
        <f>25*50</f>
        <v>1250</v>
      </c>
      <c r="E55" s="8"/>
      <c r="G55" s="8"/>
      <c r="M55"/>
      <c r="P55"/>
    </row>
    <row r="56" spans="1:16" s="1" customFormat="1" x14ac:dyDescent="0.3">
      <c r="A56"/>
      <c r="B56" t="s">
        <v>222</v>
      </c>
      <c r="C56" s="1" t="s">
        <v>219</v>
      </c>
      <c r="D56" s="1">
        <f>D55</f>
        <v>1250</v>
      </c>
      <c r="E56" s="8"/>
      <c r="G56" s="8"/>
      <c r="M56"/>
      <c r="P56"/>
    </row>
    <row r="57" spans="1:16" s="1" customFormat="1" x14ac:dyDescent="0.3">
      <c r="A57"/>
      <c r="B57" t="s">
        <v>225</v>
      </c>
      <c r="C57" s="1" t="s">
        <v>223</v>
      </c>
      <c r="D57" s="1">
        <f>D55*5</f>
        <v>6250</v>
      </c>
      <c r="E57" s="8"/>
      <c r="G57" s="8"/>
      <c r="M57"/>
      <c r="P57"/>
    </row>
    <row r="58" spans="1:16" s="1" customFormat="1" x14ac:dyDescent="0.3">
      <c r="A58"/>
      <c r="B58" t="s">
        <v>224</v>
      </c>
      <c r="C58" s="1" t="s">
        <v>223</v>
      </c>
      <c r="E58" s="8"/>
      <c r="G58" s="8"/>
      <c r="M58"/>
      <c r="P58"/>
    </row>
    <row r="59" spans="1:16" x14ac:dyDescent="0.3">
      <c r="K59" s="1"/>
    </row>
    <row r="60" spans="1:16" x14ac:dyDescent="0.3">
      <c r="K6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AC2-5E1C-4622-B494-8E0639B4032E}">
  <dimension ref="A1:O58"/>
  <sheetViews>
    <sheetView workbookViewId="0">
      <selection activeCell="H26" sqref="H26:J33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4.6640625" style="8" customWidth="1"/>
    <col min="7" max="7" width="21.44140625" style="1" bestFit="1" customWidth="1"/>
    <col min="8" max="8" width="14.6640625" style="1" customWidth="1"/>
    <col min="9" max="9" width="18.33203125" style="1" customWidth="1"/>
    <col min="10" max="10" width="18.44140625" customWidth="1"/>
    <col min="11" max="11" width="13.33203125" style="1" customWidth="1"/>
    <col min="12" max="12" width="26.44140625" customWidth="1"/>
    <col min="13" max="13" width="15.5546875" style="1" customWidth="1"/>
    <col min="14" max="14" width="11.5546875" style="1"/>
  </cols>
  <sheetData>
    <row r="1" spans="2:12" x14ac:dyDescent="0.3">
      <c r="B1" s="2" t="s">
        <v>290</v>
      </c>
      <c r="C1" s="30" t="s">
        <v>93</v>
      </c>
      <c r="D1" s="30" t="s">
        <v>94</v>
      </c>
      <c r="G1" s="3" t="s">
        <v>96</v>
      </c>
      <c r="J1" s="3"/>
      <c r="L1" s="1"/>
    </row>
    <row r="2" spans="2:12" x14ac:dyDescent="0.3">
      <c r="B2" t="s">
        <v>44</v>
      </c>
      <c r="C2" s="50">
        <f>(63000-9000-5000-15000-4800-1000-7000)+88800</f>
        <v>110000</v>
      </c>
      <c r="D2" s="8"/>
      <c r="G2" s="1" t="s">
        <v>278</v>
      </c>
      <c r="H2" s="1">
        <v>199760</v>
      </c>
      <c r="I2" s="51">
        <v>46157</v>
      </c>
      <c r="J2" s="47"/>
      <c r="L2" s="2"/>
    </row>
    <row r="3" spans="2:12" x14ac:dyDescent="0.3">
      <c r="B3" t="s">
        <v>259</v>
      </c>
      <c r="C3" s="50">
        <v>9000</v>
      </c>
      <c r="D3" s="8"/>
      <c r="G3" s="1" t="s">
        <v>245</v>
      </c>
      <c r="H3" s="1">
        <v>128704</v>
      </c>
      <c r="I3" s="51">
        <v>46155</v>
      </c>
      <c r="J3" s="47"/>
      <c r="L3" s="2"/>
    </row>
    <row r="4" spans="2:12" x14ac:dyDescent="0.3">
      <c r="B4" t="s">
        <v>258</v>
      </c>
      <c r="C4" s="8"/>
      <c r="D4" s="8"/>
      <c r="G4" s="1" t="s">
        <v>275</v>
      </c>
      <c r="H4" s="1">
        <v>25000</v>
      </c>
      <c r="I4" s="51"/>
      <c r="J4" s="47"/>
      <c r="L4" s="2"/>
    </row>
    <row r="5" spans="2:12" x14ac:dyDescent="0.3">
      <c r="B5" t="s">
        <v>45</v>
      </c>
      <c r="C5" s="50">
        <f>H23</f>
        <v>24450</v>
      </c>
      <c r="D5" s="8"/>
      <c r="I5" s="51"/>
      <c r="L5" s="2"/>
    </row>
    <row r="6" spans="2:12" x14ac:dyDescent="0.3">
      <c r="B6" t="s">
        <v>105</v>
      </c>
      <c r="C6" s="50">
        <f>(H3+H2)*0.042</f>
        <v>13795.488000000001</v>
      </c>
      <c r="D6" s="8"/>
      <c r="I6" s="51"/>
      <c r="L6" s="2"/>
    </row>
    <row r="7" spans="2:12" x14ac:dyDescent="0.3">
      <c r="B7" t="s">
        <v>16</v>
      </c>
      <c r="C7" s="50">
        <v>7000</v>
      </c>
      <c r="D7" s="8"/>
      <c r="G7" s="1" t="s">
        <v>237</v>
      </c>
      <c r="L7" s="2"/>
    </row>
    <row r="8" spans="2:12" x14ac:dyDescent="0.3">
      <c r="B8" t="s">
        <v>16</v>
      </c>
      <c r="C8" s="50">
        <v>61302.86</v>
      </c>
      <c r="D8" s="8"/>
      <c r="H8" s="15">
        <f>SUM(H2:H7)</f>
        <v>353464</v>
      </c>
      <c r="L8" s="2"/>
    </row>
    <row r="9" spans="2:12" x14ac:dyDescent="0.3">
      <c r="B9" t="s">
        <v>256</v>
      </c>
      <c r="C9" s="8"/>
      <c r="D9" s="8"/>
      <c r="G9" s="1" t="s">
        <v>90</v>
      </c>
      <c r="H9" s="35">
        <f>H8-C44</f>
        <v>-12311.318000000028</v>
      </c>
      <c r="L9" s="2"/>
    </row>
    <row r="10" spans="2:12" x14ac:dyDescent="0.3">
      <c r="B10" s="33" t="s">
        <v>31</v>
      </c>
      <c r="C10" s="50">
        <v>10000</v>
      </c>
      <c r="D10" s="50">
        <v>10000</v>
      </c>
      <c r="L10" s="2"/>
    </row>
    <row r="11" spans="2:12" x14ac:dyDescent="0.3">
      <c r="B11" t="s">
        <v>156</v>
      </c>
      <c r="C11" s="8"/>
      <c r="L11" s="2"/>
    </row>
    <row r="12" spans="2:12" x14ac:dyDescent="0.3">
      <c r="B12" t="s">
        <v>216</v>
      </c>
      <c r="C12" s="8"/>
      <c r="D12" s="8"/>
      <c r="E12" s="8">
        <v>32480</v>
      </c>
      <c r="G12" t="s">
        <v>189</v>
      </c>
      <c r="L12" s="2"/>
    </row>
    <row r="13" spans="2:12" x14ac:dyDescent="0.3">
      <c r="B13" t="s">
        <v>8</v>
      </c>
      <c r="C13" s="8"/>
      <c r="D13" s="5">
        <f>3886</f>
        <v>3886</v>
      </c>
      <c r="E13" s="8"/>
      <c r="G13" t="s">
        <v>64</v>
      </c>
      <c r="H13" s="1">
        <v>4000</v>
      </c>
      <c r="L13" s="2"/>
    </row>
    <row r="14" spans="2:12" x14ac:dyDescent="0.3">
      <c r="B14" t="s">
        <v>212</v>
      </c>
      <c r="C14" s="8"/>
      <c r="D14" s="5">
        <v>6050</v>
      </c>
      <c r="E14" s="8"/>
      <c r="G14" t="s">
        <v>66</v>
      </c>
      <c r="H14" s="1">
        <v>3500</v>
      </c>
      <c r="L14" s="2"/>
    </row>
    <row r="15" spans="2:12" x14ac:dyDescent="0.3">
      <c r="B15" t="s">
        <v>281</v>
      </c>
      <c r="C15" s="8"/>
      <c r="D15" s="5">
        <v>3596.65</v>
      </c>
      <c r="E15" s="8"/>
      <c r="G15" t="s">
        <v>266</v>
      </c>
      <c r="H15" s="1">
        <f>3500-400</f>
        <v>3100</v>
      </c>
      <c r="L15" s="2"/>
    </row>
    <row r="16" spans="2:12" x14ac:dyDescent="0.3">
      <c r="B16" t="s">
        <v>32</v>
      </c>
      <c r="C16" s="50">
        <f>4476.15+4476.15</f>
        <v>8952.2999999999993</v>
      </c>
      <c r="D16" s="8"/>
      <c r="E16" s="8"/>
      <c r="G16" s="1" t="s">
        <v>287</v>
      </c>
      <c r="H16" s="1">
        <v>900</v>
      </c>
    </row>
    <row r="17" spans="1:15" x14ac:dyDescent="0.3">
      <c r="B17" t="s">
        <v>128</v>
      </c>
      <c r="D17" s="10">
        <v>2033</v>
      </c>
      <c r="E17" s="8"/>
      <c r="G17" t="s">
        <v>67</v>
      </c>
      <c r="H17" s="1">
        <v>1950</v>
      </c>
    </row>
    <row r="18" spans="1:15" x14ac:dyDescent="0.3">
      <c r="B18" t="s">
        <v>170</v>
      </c>
      <c r="C18" s="8"/>
      <c r="D18" s="5">
        <v>8129.69</v>
      </c>
      <c r="E18" s="8"/>
      <c r="G18" t="s">
        <v>22</v>
      </c>
      <c r="I18" s="1">
        <v>5000</v>
      </c>
    </row>
    <row r="19" spans="1:15" x14ac:dyDescent="0.3">
      <c r="B19" s="53" t="s">
        <v>264</v>
      </c>
      <c r="C19" s="50">
        <v>6666.98</v>
      </c>
      <c r="D19" s="8"/>
      <c r="E19" s="8"/>
      <c r="G19" t="s">
        <v>233</v>
      </c>
      <c r="H19" s="11">
        <v>5000</v>
      </c>
    </row>
    <row r="20" spans="1:15" x14ac:dyDescent="0.3">
      <c r="B20" s="53" t="s">
        <v>186</v>
      </c>
      <c r="C20" s="8"/>
      <c r="D20" s="8"/>
      <c r="E20" s="8"/>
      <c r="G20" s="1" t="s">
        <v>282</v>
      </c>
      <c r="H20" s="1">
        <v>1000</v>
      </c>
    </row>
    <row r="21" spans="1:15" s="1" customFormat="1" x14ac:dyDescent="0.3">
      <c r="A21"/>
      <c r="B21" t="s">
        <v>280</v>
      </c>
      <c r="C21" s="50">
        <v>7508.23</v>
      </c>
      <c r="D21" s="8"/>
      <c r="E21" s="8"/>
      <c r="F21" s="8"/>
      <c r="H21" s="3">
        <f>SUM(H13:H20)</f>
        <v>19450</v>
      </c>
      <c r="J21"/>
      <c r="L21"/>
      <c r="O21"/>
    </row>
    <row r="22" spans="1:15" s="1" customFormat="1" x14ac:dyDescent="0.3">
      <c r="A22"/>
      <c r="B22" t="s">
        <v>136</v>
      </c>
      <c r="C22" s="8"/>
      <c r="D22" s="8"/>
      <c r="E22" s="1">
        <f>47000</f>
        <v>47000</v>
      </c>
      <c r="F22" s="8"/>
      <c r="G22" t="s">
        <v>135</v>
      </c>
      <c r="H22" s="1">
        <f>H19</f>
        <v>5000</v>
      </c>
      <c r="J22"/>
      <c r="L22"/>
      <c r="O22"/>
    </row>
    <row r="23" spans="1:15" s="1" customFormat="1" x14ac:dyDescent="0.3">
      <c r="B23" t="s">
        <v>226</v>
      </c>
      <c r="C23" s="8"/>
      <c r="D23" s="8"/>
      <c r="E23" s="8"/>
      <c r="F23" s="8"/>
      <c r="G23"/>
      <c r="H23" s="3">
        <f>H21+H22</f>
        <v>24450</v>
      </c>
      <c r="I23" s="1">
        <f>SUM(I13:I22)</f>
        <v>5000</v>
      </c>
      <c r="J23" s="47">
        <f>SUM(H23:I23)</f>
        <v>29450</v>
      </c>
      <c r="L23"/>
      <c r="O23"/>
    </row>
    <row r="24" spans="1:15" s="1" customFormat="1" x14ac:dyDescent="0.3">
      <c r="B24" t="s">
        <v>109</v>
      </c>
      <c r="C24" s="8"/>
      <c r="D24" s="8"/>
      <c r="E24" s="8"/>
      <c r="F24" s="8"/>
      <c r="J24"/>
      <c r="L24"/>
      <c r="O24"/>
    </row>
    <row r="25" spans="1:15" s="1" customFormat="1" x14ac:dyDescent="0.3">
      <c r="B25" t="s">
        <v>249</v>
      </c>
      <c r="C25" s="8"/>
      <c r="D25" s="8"/>
      <c r="E25" s="8"/>
      <c r="F25" s="8"/>
      <c r="G25"/>
      <c r="H25" s="3"/>
      <c r="J25"/>
      <c r="L25"/>
      <c r="O25"/>
    </row>
    <row r="26" spans="1:15" s="1" customFormat="1" x14ac:dyDescent="0.3">
      <c r="B26" t="s">
        <v>18</v>
      </c>
      <c r="C26" s="8"/>
      <c r="E26" s="8">
        <f>14592.86+11860.88</f>
        <v>26453.739999999998</v>
      </c>
      <c r="F26" s="8"/>
      <c r="I26" s="1">
        <v>12800</v>
      </c>
      <c r="J26" s="17" t="s">
        <v>291</v>
      </c>
      <c r="K26" s="1">
        <f>120000</f>
        <v>120000</v>
      </c>
      <c r="L26"/>
      <c r="O26"/>
    </row>
    <row r="27" spans="1:15" s="1" customFormat="1" x14ac:dyDescent="0.3">
      <c r="B27" t="s">
        <v>18</v>
      </c>
      <c r="C27" s="8"/>
      <c r="E27" s="8">
        <f>14592.86</f>
        <v>14592.86</v>
      </c>
      <c r="F27" s="8"/>
      <c r="H27" s="1" t="s">
        <v>283</v>
      </c>
      <c r="I27" s="5">
        <v>12800</v>
      </c>
      <c r="J27" s="17" t="s">
        <v>291</v>
      </c>
      <c r="K27" s="47">
        <f>H21+I23+H22</f>
        <v>29450</v>
      </c>
      <c r="L27"/>
      <c r="O27"/>
    </row>
    <row r="28" spans="1:15" s="1" customFormat="1" x14ac:dyDescent="0.3">
      <c r="B28" t="s">
        <v>217</v>
      </c>
      <c r="C28" s="50">
        <v>14685.06</v>
      </c>
      <c r="D28" s="8"/>
      <c r="E28" s="8"/>
      <c r="F28" s="23"/>
      <c r="H28" s="1" t="s">
        <v>284</v>
      </c>
      <c r="I28" s="5">
        <v>50000</v>
      </c>
      <c r="K28" s="6">
        <f>SUM(K26:K27)</f>
        <v>149450</v>
      </c>
      <c r="L28"/>
      <c r="O28"/>
    </row>
    <row r="29" spans="1:15" s="1" customFormat="1" x14ac:dyDescent="0.3">
      <c r="B29" t="s">
        <v>192</v>
      </c>
      <c r="D29" s="5">
        <v>15370</v>
      </c>
      <c r="E29" s="8">
        <v>15370</v>
      </c>
      <c r="F29" s="23"/>
      <c r="H29" s="1" t="s">
        <v>35</v>
      </c>
      <c r="I29" s="5">
        <v>18500</v>
      </c>
      <c r="K29"/>
      <c r="L29"/>
      <c r="O29"/>
    </row>
    <row r="30" spans="1:15" s="1" customFormat="1" x14ac:dyDescent="0.3">
      <c r="B30" t="s">
        <v>135</v>
      </c>
      <c r="C30" s="50">
        <f>5000+4800</f>
        <v>9800</v>
      </c>
      <c r="D30" s="8"/>
      <c r="E30" s="8"/>
      <c r="F30" s="23"/>
      <c r="H30" s="1" t="s">
        <v>285</v>
      </c>
      <c r="I30" s="5">
        <v>30000</v>
      </c>
      <c r="K30"/>
      <c r="L30"/>
      <c r="O30"/>
    </row>
    <row r="31" spans="1:15" s="1" customFormat="1" x14ac:dyDescent="0.3">
      <c r="B31" t="s">
        <v>95</v>
      </c>
      <c r="C31" s="8"/>
      <c r="E31" s="8"/>
      <c r="F31" s="23"/>
      <c r="H31" s="1" t="s">
        <v>22</v>
      </c>
      <c r="I31" s="10">
        <f>I18</f>
        <v>5000</v>
      </c>
      <c r="K31"/>
      <c r="L31"/>
      <c r="O31"/>
    </row>
    <row r="32" spans="1:15" s="1" customFormat="1" x14ac:dyDescent="0.3">
      <c r="B32" t="s">
        <v>234</v>
      </c>
      <c r="C32" s="8"/>
      <c r="E32" s="8"/>
      <c r="F32" s="23"/>
      <c r="H32" s="1" t="s">
        <v>66</v>
      </c>
      <c r="I32" s="10">
        <v>19450</v>
      </c>
      <c r="J32" s="17" t="s">
        <v>291</v>
      </c>
      <c r="K32"/>
      <c r="L32"/>
      <c r="O32"/>
    </row>
    <row r="33" spans="1:15" s="1" customFormat="1" x14ac:dyDescent="0.3">
      <c r="B33" t="s">
        <v>263</v>
      </c>
      <c r="E33" s="52">
        <v>77738.850000000006</v>
      </c>
      <c r="F33" s="23"/>
      <c r="H33" s="1" t="s">
        <v>286</v>
      </c>
      <c r="I33" s="1">
        <v>12800</v>
      </c>
      <c r="J33" s="17" t="s">
        <v>291</v>
      </c>
      <c r="K33"/>
      <c r="L33"/>
      <c r="O33"/>
    </row>
    <row r="34" spans="1:15" s="1" customFormat="1" x14ac:dyDescent="0.3">
      <c r="B34" s="54" t="s">
        <v>262</v>
      </c>
      <c r="C34" s="50">
        <v>56045.4</v>
      </c>
      <c r="E34" s="8"/>
      <c r="F34" s="23"/>
      <c r="I34" s="3">
        <f>SUM(I27:I33)</f>
        <v>148550</v>
      </c>
      <c r="K34" s="47">
        <f>I34-K28</f>
        <v>-900</v>
      </c>
      <c r="L34"/>
      <c r="O34"/>
    </row>
    <row r="35" spans="1:15" s="1" customFormat="1" x14ac:dyDescent="0.3">
      <c r="B35" s="54" t="s">
        <v>262</v>
      </c>
      <c r="C35" s="50">
        <v>9802</v>
      </c>
      <c r="E35" s="8"/>
      <c r="F35" s="23"/>
      <c r="L35"/>
      <c r="O35"/>
    </row>
    <row r="36" spans="1:15" x14ac:dyDescent="0.3">
      <c r="A36" s="1"/>
      <c r="B36" s="54" t="s">
        <v>262</v>
      </c>
      <c r="C36" s="8"/>
      <c r="E36" s="8"/>
      <c r="F36" s="23"/>
      <c r="I36" s="3" t="s">
        <v>269</v>
      </c>
      <c r="J36" s="1"/>
    </row>
    <row r="37" spans="1:15" x14ac:dyDescent="0.3">
      <c r="A37" s="1"/>
      <c r="B37" t="s">
        <v>239</v>
      </c>
      <c r="C37" s="8"/>
      <c r="D37" s="8"/>
      <c r="E37" s="8"/>
      <c r="F37" s="23"/>
      <c r="I37" s="1" t="s">
        <v>270</v>
      </c>
      <c r="J37" s="55">
        <v>1300</v>
      </c>
    </row>
    <row r="38" spans="1:15" x14ac:dyDescent="0.3">
      <c r="A38" s="1"/>
      <c r="B38" t="s">
        <v>48</v>
      </c>
      <c r="C38" s="8"/>
      <c r="D38" s="8"/>
      <c r="E38" s="8"/>
      <c r="F38" s="23"/>
      <c r="I38" s="1" t="s">
        <v>273</v>
      </c>
      <c r="J38" s="55">
        <v>1000</v>
      </c>
    </row>
    <row r="39" spans="1:15" x14ac:dyDescent="0.3">
      <c r="A39" s="1"/>
      <c r="B39" t="s">
        <v>240</v>
      </c>
      <c r="C39" s="8"/>
      <c r="D39" s="8"/>
      <c r="E39" s="8"/>
      <c r="F39" s="23"/>
      <c r="G39" s="8"/>
      <c r="I39" s="1" t="s">
        <v>272</v>
      </c>
      <c r="J39" s="55">
        <v>800</v>
      </c>
      <c r="M39" s="8"/>
      <c r="N39" s="8"/>
    </row>
    <row r="40" spans="1:15" x14ac:dyDescent="0.3">
      <c r="A40" s="1"/>
      <c r="B40" t="s">
        <v>126</v>
      </c>
      <c r="C40" s="50">
        <v>1292</v>
      </c>
      <c r="D40" s="8"/>
      <c r="E40" s="8"/>
      <c r="F40" s="23"/>
      <c r="H40" s="8"/>
      <c r="I40" s="1" t="s">
        <v>271</v>
      </c>
      <c r="J40" s="55">
        <v>700</v>
      </c>
      <c r="K40" s="8"/>
    </row>
    <row r="41" spans="1:15" x14ac:dyDescent="0.3">
      <c r="A41" s="1"/>
      <c r="B41" t="s">
        <v>50</v>
      </c>
      <c r="C41" s="8"/>
      <c r="D41" s="8"/>
      <c r="E41" s="29">
        <v>49247.8</v>
      </c>
      <c r="F41" s="23"/>
      <c r="J41" s="1"/>
    </row>
    <row r="42" spans="1:15" x14ac:dyDescent="0.3">
      <c r="A42" s="1"/>
      <c r="B42" t="s">
        <v>277</v>
      </c>
      <c r="C42" s="50">
        <f>1000+500+964+2210</f>
        <v>4674</v>
      </c>
      <c r="D42" s="8"/>
      <c r="E42" s="8"/>
      <c r="F42" s="23"/>
      <c r="J42" s="1"/>
    </row>
    <row r="43" spans="1:15" s="1" customFormat="1" x14ac:dyDescent="0.3">
      <c r="A43" s="8"/>
      <c r="B43" s="8" t="s">
        <v>292</v>
      </c>
      <c r="C43" s="50">
        <v>10801</v>
      </c>
      <c r="E43" s="8"/>
      <c r="F43" s="23"/>
      <c r="L43"/>
      <c r="O43"/>
    </row>
    <row r="44" spans="1:15" s="1" customFormat="1" x14ac:dyDescent="0.3">
      <c r="A44"/>
      <c r="B44"/>
      <c r="C44" s="15">
        <f>SUM(C2:C43)</f>
        <v>365775.31800000003</v>
      </c>
      <c r="D44" s="34">
        <f>SUM(D2:D42)</f>
        <v>49065.340000000004</v>
      </c>
      <c r="E44" s="15">
        <f>SUM(E2:E43)</f>
        <v>262883.25</v>
      </c>
      <c r="F44" s="8"/>
      <c r="L44"/>
      <c r="O44"/>
    </row>
    <row r="45" spans="1:15" s="1" customFormat="1" x14ac:dyDescent="0.3">
      <c r="A45"/>
      <c r="B45"/>
      <c r="C45" s="38"/>
      <c r="F45" s="8"/>
      <c r="J45"/>
      <c r="L45"/>
      <c r="O45"/>
    </row>
    <row r="46" spans="1:15" s="1" customFormat="1" x14ac:dyDescent="0.3">
      <c r="A46"/>
      <c r="B46"/>
      <c r="C46" s="38"/>
      <c r="F46" s="8"/>
      <c r="J46"/>
      <c r="L46"/>
    </row>
    <row r="47" spans="1:15" s="1" customFormat="1" x14ac:dyDescent="0.3">
      <c r="A47"/>
      <c r="F47" s="8"/>
      <c r="J47"/>
      <c r="L47"/>
      <c r="O47"/>
    </row>
    <row r="48" spans="1:15" s="1" customFormat="1" x14ac:dyDescent="0.3">
      <c r="A48"/>
      <c r="C48" s="8"/>
      <c r="D48" s="1">
        <f>D47*3</f>
        <v>0</v>
      </c>
      <c r="F48" s="8"/>
      <c r="J48"/>
      <c r="L48"/>
    </row>
    <row r="49" spans="1:15" s="1" customFormat="1" x14ac:dyDescent="0.3">
      <c r="B49"/>
      <c r="C49" s="8"/>
      <c r="D49" s="1">
        <f>997/1661</f>
        <v>0.60024081878386515</v>
      </c>
      <c r="F49" s="8"/>
      <c r="L49"/>
    </row>
    <row r="50" spans="1:15" s="1" customFormat="1" x14ac:dyDescent="0.3">
      <c r="A50"/>
      <c r="B50"/>
      <c r="C50" s="38"/>
      <c r="F50" s="8"/>
      <c r="L50"/>
    </row>
    <row r="51" spans="1:15" x14ac:dyDescent="0.3">
      <c r="A51" s="1"/>
      <c r="B51" s="49" t="s">
        <v>218</v>
      </c>
      <c r="C51" s="1" t="s">
        <v>219</v>
      </c>
      <c r="H51" s="1">
        <v>96000</v>
      </c>
      <c r="J51" s="1"/>
    </row>
    <row r="52" spans="1:15" x14ac:dyDescent="0.3">
      <c r="A52" s="1"/>
      <c r="B52" t="s">
        <v>220</v>
      </c>
      <c r="C52" s="1" t="s">
        <v>219</v>
      </c>
      <c r="H52" s="1">
        <v>30000</v>
      </c>
      <c r="J52" s="1"/>
    </row>
    <row r="53" spans="1:15" s="1" customFormat="1" x14ac:dyDescent="0.3">
      <c r="B53" t="s">
        <v>221</v>
      </c>
      <c r="C53" s="1" t="s">
        <v>219</v>
      </c>
      <c r="D53" s="1">
        <f>25*50</f>
        <v>1250</v>
      </c>
      <c r="F53" s="8"/>
      <c r="G53" s="1" t="s">
        <v>242</v>
      </c>
      <c r="H53" s="38">
        <f>-85800*1.04</f>
        <v>-89232</v>
      </c>
      <c r="I53" s="1">
        <v>80000</v>
      </c>
      <c r="J53" s="1">
        <f>I53*1.045</f>
        <v>83600</v>
      </c>
      <c r="L53"/>
      <c r="O53"/>
    </row>
    <row r="54" spans="1:15" s="1" customFormat="1" x14ac:dyDescent="0.3">
      <c r="A54"/>
      <c r="B54" t="s">
        <v>222</v>
      </c>
      <c r="C54" s="1" t="s">
        <v>219</v>
      </c>
      <c r="D54" s="1">
        <f>D53</f>
        <v>1250</v>
      </c>
      <c r="F54" s="8"/>
      <c r="G54" s="1" t="s">
        <v>1</v>
      </c>
      <c r="H54" s="38">
        <v>-20000</v>
      </c>
      <c r="J54" s="1">
        <v>20000</v>
      </c>
      <c r="L54"/>
      <c r="O54"/>
    </row>
    <row r="55" spans="1:15" s="1" customFormat="1" x14ac:dyDescent="0.3">
      <c r="A55"/>
      <c r="B55" t="s">
        <v>225</v>
      </c>
      <c r="C55" s="1" t="s">
        <v>223</v>
      </c>
      <c r="D55" s="1">
        <f>D53*5</f>
        <v>6250</v>
      </c>
      <c r="F55" s="8"/>
      <c r="G55" s="1" t="s">
        <v>243</v>
      </c>
      <c r="H55" s="38">
        <f>-16.9*1.16*500</f>
        <v>-9801.9999999999982</v>
      </c>
      <c r="J55" s="1">
        <v>10000</v>
      </c>
      <c r="L55"/>
      <c r="O55"/>
    </row>
    <row r="56" spans="1:15" s="1" customFormat="1" x14ac:dyDescent="0.3">
      <c r="A56"/>
      <c r="B56" t="s">
        <v>224</v>
      </c>
      <c r="C56" s="1" t="s">
        <v>223</v>
      </c>
      <c r="F56" s="8"/>
      <c r="H56" s="38">
        <f>SUM(H51:H55)</f>
        <v>6966.0000000000018</v>
      </c>
      <c r="J56" s="1">
        <f>SUM(J53:J55)</f>
        <v>113600</v>
      </c>
      <c r="L56"/>
      <c r="O56"/>
    </row>
    <row r="57" spans="1:15" s="1" customFormat="1" x14ac:dyDescent="0.3">
      <c r="A57"/>
      <c r="B57"/>
      <c r="F57" s="8"/>
      <c r="J57" s="1">
        <f>H51+H52-J56</f>
        <v>12400</v>
      </c>
      <c r="L57"/>
      <c r="O57"/>
    </row>
    <row r="58" spans="1:15" s="1" customFormat="1" x14ac:dyDescent="0.3">
      <c r="A58"/>
      <c r="B58"/>
      <c r="F58" s="8"/>
      <c r="L58"/>
      <c r="O5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7FCC-A2F2-4C66-B0D7-107549ECBDA8}">
  <dimension ref="A1:P58"/>
  <sheetViews>
    <sheetView workbookViewId="0">
      <selection activeCell="G48" sqref="G48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1.441406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8.33203125" style="1" customWidth="1"/>
    <col min="11" max="11" width="18.44140625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3" x14ac:dyDescent="0.3">
      <c r="B1" s="2" t="s">
        <v>260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3" x14ac:dyDescent="0.3">
      <c r="B2" t="s">
        <v>44</v>
      </c>
      <c r="C2" s="50">
        <v>110000</v>
      </c>
      <c r="D2" s="8"/>
      <c r="H2" s="1" t="s">
        <v>261</v>
      </c>
      <c r="I2" s="1">
        <v>193267.8</v>
      </c>
      <c r="J2" s="51">
        <v>46150</v>
      </c>
      <c r="K2" s="47"/>
      <c r="M2" s="2"/>
    </row>
    <row r="3" spans="2:13" x14ac:dyDescent="0.3">
      <c r="B3" t="s">
        <v>259</v>
      </c>
      <c r="C3" s="8"/>
      <c r="D3" s="8"/>
      <c r="H3" s="1" t="s">
        <v>245</v>
      </c>
      <c r="J3" s="51"/>
      <c r="K3" s="47"/>
      <c r="M3" s="2"/>
    </row>
    <row r="4" spans="2:13" x14ac:dyDescent="0.3">
      <c r="B4" t="s">
        <v>258</v>
      </c>
      <c r="C4" s="8"/>
      <c r="D4" s="8"/>
      <c r="J4" s="51"/>
      <c r="K4" s="47"/>
      <c r="M4" s="2"/>
    </row>
    <row r="5" spans="2:13" x14ac:dyDescent="0.3">
      <c r="B5" t="s">
        <v>45</v>
      </c>
      <c r="C5" s="50">
        <f>I22</f>
        <v>21850</v>
      </c>
      <c r="D5" s="8"/>
      <c r="J5" s="51"/>
      <c r="M5" s="2"/>
    </row>
    <row r="6" spans="2:13" x14ac:dyDescent="0.3">
      <c r="B6" t="s">
        <v>105</v>
      </c>
      <c r="C6" s="50">
        <f>(D2+D3+D5+C2+C3+C5+C4+D4)*0.042</f>
        <v>5537.7000000000007</v>
      </c>
      <c r="D6" s="8"/>
      <c r="J6" s="51"/>
      <c r="M6" s="2"/>
    </row>
    <row r="7" spans="2:13" x14ac:dyDescent="0.3">
      <c r="B7" t="s">
        <v>16</v>
      </c>
      <c r="C7" s="8"/>
      <c r="D7" s="8"/>
      <c r="H7" s="1" t="s">
        <v>237</v>
      </c>
      <c r="M7" s="2"/>
    </row>
    <row r="8" spans="2:13" x14ac:dyDescent="0.3">
      <c r="B8" t="s">
        <v>256</v>
      </c>
      <c r="C8" s="8"/>
      <c r="D8" s="8"/>
      <c r="I8" s="15">
        <f>SUM(I2:I7)</f>
        <v>193267.8</v>
      </c>
      <c r="M8" s="2"/>
    </row>
    <row r="9" spans="2:13" x14ac:dyDescent="0.3">
      <c r="B9" s="33" t="s">
        <v>31</v>
      </c>
      <c r="D9" s="50">
        <v>10000</v>
      </c>
      <c r="H9" s="1" t="s">
        <v>90</v>
      </c>
      <c r="I9" s="35">
        <f>I8-C41</f>
        <v>13253.959999999963</v>
      </c>
      <c r="M9" s="2"/>
    </row>
    <row r="10" spans="2:13" x14ac:dyDescent="0.3">
      <c r="B10" t="s">
        <v>156</v>
      </c>
      <c r="C10" s="8"/>
      <c r="M10" s="2"/>
    </row>
    <row r="11" spans="2:13" x14ac:dyDescent="0.3">
      <c r="B11" t="s">
        <v>216</v>
      </c>
      <c r="C11" s="8"/>
      <c r="D11" s="8"/>
      <c r="E11" s="8">
        <v>32480</v>
      </c>
      <c r="M11" s="2"/>
    </row>
    <row r="12" spans="2:13" x14ac:dyDescent="0.3">
      <c r="B12" t="s">
        <v>8</v>
      </c>
      <c r="C12" s="8"/>
      <c r="D12" s="8"/>
      <c r="F12" s="8"/>
      <c r="H12" t="s">
        <v>189</v>
      </c>
      <c r="K12">
        <f>2800/6</f>
        <v>466.66666666666669</v>
      </c>
      <c r="M12" s="2"/>
    </row>
    <row r="13" spans="2:13" x14ac:dyDescent="0.3">
      <c r="B13" t="s">
        <v>212</v>
      </c>
      <c r="C13" s="8"/>
      <c r="D13" s="8"/>
      <c r="H13" t="s">
        <v>64</v>
      </c>
      <c r="I13" s="1">
        <v>4000</v>
      </c>
      <c r="M13" s="2"/>
    </row>
    <row r="14" spans="2:13" x14ac:dyDescent="0.3">
      <c r="B14" t="s">
        <v>32</v>
      </c>
      <c r="D14" s="8">
        <f>4476.15*2</f>
        <v>8952.2999999999993</v>
      </c>
      <c r="H14" t="s">
        <v>66</v>
      </c>
      <c r="I14" s="1">
        <v>3500</v>
      </c>
      <c r="M14" s="2"/>
    </row>
    <row r="15" spans="2:13" x14ac:dyDescent="0.3">
      <c r="B15" t="s">
        <v>128</v>
      </c>
      <c r="C15" s="8"/>
      <c r="D15" s="8"/>
      <c r="H15" t="s">
        <v>266</v>
      </c>
      <c r="I15" s="1">
        <v>500</v>
      </c>
      <c r="M15" s="2"/>
    </row>
    <row r="16" spans="2:13" x14ac:dyDescent="0.3">
      <c r="B16" t="s">
        <v>170</v>
      </c>
      <c r="C16" s="50">
        <v>4235.9399999999996</v>
      </c>
      <c r="D16" s="8"/>
      <c r="F16" s="8"/>
      <c r="H16" s="1" t="s">
        <v>268</v>
      </c>
      <c r="I16" s="1">
        <v>900</v>
      </c>
    </row>
    <row r="17" spans="1:16" x14ac:dyDescent="0.3">
      <c r="B17" s="53" t="s">
        <v>264</v>
      </c>
      <c r="C17" s="8"/>
      <c r="D17" s="8"/>
      <c r="H17" t="s">
        <v>67</v>
      </c>
      <c r="I17" s="1">
        <v>1950</v>
      </c>
    </row>
    <row r="18" spans="1:16" x14ac:dyDescent="0.3">
      <c r="B18" s="53" t="s">
        <v>186</v>
      </c>
      <c r="C18" s="8"/>
      <c r="D18" s="8"/>
      <c r="H18" t="s">
        <v>22</v>
      </c>
      <c r="I18" s="1">
        <v>3000</v>
      </c>
      <c r="J18" s="1">
        <v>5000</v>
      </c>
      <c r="K18" t="s">
        <v>267</v>
      </c>
    </row>
    <row r="19" spans="1:16" x14ac:dyDescent="0.3">
      <c r="B19" t="s">
        <v>136</v>
      </c>
      <c r="C19" s="8"/>
      <c r="D19" s="8"/>
      <c r="F19" s="1">
        <f>47000</f>
        <v>47000</v>
      </c>
      <c r="H19" t="s">
        <v>233</v>
      </c>
      <c r="I19" s="38">
        <v>5000</v>
      </c>
    </row>
    <row r="20" spans="1:16" x14ac:dyDescent="0.3">
      <c r="A20" s="1"/>
      <c r="B20" t="s">
        <v>226</v>
      </c>
      <c r="C20" s="8"/>
      <c r="D20" s="8"/>
      <c r="F20" s="29"/>
      <c r="I20" s="3">
        <f>SUM(I13:I19)</f>
        <v>18850</v>
      </c>
    </row>
    <row r="21" spans="1:16" s="1" customFormat="1" x14ac:dyDescent="0.3">
      <c r="B21" t="s">
        <v>109</v>
      </c>
      <c r="C21" s="8"/>
      <c r="D21" s="8"/>
      <c r="E21" s="8"/>
      <c r="G21" s="8"/>
      <c r="H21" t="s">
        <v>135</v>
      </c>
      <c r="I21" s="1">
        <f>I18</f>
        <v>3000</v>
      </c>
      <c r="K21"/>
      <c r="M21"/>
      <c r="P21"/>
    </row>
    <row r="22" spans="1:16" s="1" customFormat="1" x14ac:dyDescent="0.3">
      <c r="B22" t="s">
        <v>249</v>
      </c>
      <c r="C22" s="8"/>
      <c r="D22" s="8"/>
      <c r="E22" s="8"/>
      <c r="G22" s="8"/>
      <c r="H22"/>
      <c r="I22" s="3">
        <f>I20+I21</f>
        <v>21850</v>
      </c>
      <c r="K22"/>
      <c r="M22"/>
      <c r="P22"/>
    </row>
    <row r="23" spans="1:16" s="1" customFormat="1" x14ac:dyDescent="0.3">
      <c r="B23" t="s">
        <v>18</v>
      </c>
      <c r="C23" s="8"/>
      <c r="E23" s="8">
        <f>14592.86+11860.88</f>
        <v>26453.739999999998</v>
      </c>
      <c r="F23" s="51">
        <v>46170</v>
      </c>
      <c r="G23" s="8"/>
      <c r="H23"/>
      <c r="K23"/>
      <c r="M23"/>
      <c r="P23"/>
    </row>
    <row r="24" spans="1:16" s="1" customFormat="1" x14ac:dyDescent="0.3">
      <c r="B24" t="s">
        <v>18</v>
      </c>
      <c r="C24" s="8"/>
      <c r="E24" s="8">
        <f>14592.86</f>
        <v>14592.86</v>
      </c>
      <c r="F24" s="51">
        <v>46201</v>
      </c>
      <c r="G24" s="8"/>
      <c r="K24"/>
      <c r="M24"/>
      <c r="P24"/>
    </row>
    <row r="25" spans="1:16" s="1" customFormat="1" x14ac:dyDescent="0.3">
      <c r="B25" t="s">
        <v>217</v>
      </c>
      <c r="C25" s="8"/>
      <c r="D25" s="8"/>
      <c r="E25" s="8"/>
      <c r="G25" s="23"/>
      <c r="H25">
        <f>60/6</f>
        <v>10</v>
      </c>
      <c r="I25" s="3">
        <f>45000</f>
        <v>45000</v>
      </c>
      <c r="J25" s="1">
        <f>I25/H25</f>
        <v>4500</v>
      </c>
      <c r="K25"/>
      <c r="M25"/>
      <c r="P25"/>
    </row>
    <row r="26" spans="1:16" s="1" customFormat="1" x14ac:dyDescent="0.3">
      <c r="B26" t="s">
        <v>192</v>
      </c>
      <c r="C26" s="50">
        <v>15370</v>
      </c>
      <c r="D26" s="8"/>
      <c r="E26" s="8"/>
      <c r="G26" s="23"/>
      <c r="K26"/>
      <c r="M26"/>
      <c r="P26"/>
    </row>
    <row r="27" spans="1:16" s="1" customFormat="1" x14ac:dyDescent="0.3">
      <c r="B27" t="s">
        <v>135</v>
      </c>
      <c r="C27" s="8"/>
      <c r="D27" s="8"/>
      <c r="E27" s="8"/>
      <c r="F27" s="8"/>
      <c r="G27" s="23"/>
      <c r="K27"/>
      <c r="M27"/>
      <c r="P27"/>
    </row>
    <row r="28" spans="1:16" s="1" customFormat="1" x14ac:dyDescent="0.3">
      <c r="B28" t="s">
        <v>95</v>
      </c>
      <c r="C28" s="8"/>
      <c r="E28" s="8"/>
      <c r="G28" s="23"/>
      <c r="K28"/>
      <c r="M28"/>
      <c r="P28"/>
    </row>
    <row r="29" spans="1:16" s="1" customFormat="1" x14ac:dyDescent="0.3">
      <c r="B29" t="s">
        <v>234</v>
      </c>
      <c r="C29" s="8"/>
      <c r="D29" s="8"/>
      <c r="E29" s="8"/>
      <c r="G29" s="23"/>
      <c r="K29"/>
      <c r="M29"/>
      <c r="P29"/>
    </row>
    <row r="30" spans="1:16" s="1" customFormat="1" x14ac:dyDescent="0.3">
      <c r="B30" t="s">
        <v>263</v>
      </c>
      <c r="D30" s="52">
        <v>20000</v>
      </c>
      <c r="E30" s="8"/>
      <c r="G30" s="23"/>
      <c r="K30"/>
      <c r="M30"/>
      <c r="P30"/>
    </row>
    <row r="31" spans="1:16" s="1" customFormat="1" x14ac:dyDescent="0.3">
      <c r="B31" s="54" t="s">
        <v>262</v>
      </c>
      <c r="C31" s="50">
        <f>9135*2</f>
        <v>18270</v>
      </c>
      <c r="D31" s="8"/>
      <c r="E31" s="8"/>
      <c r="G31" s="23"/>
      <c r="K31"/>
      <c r="M31"/>
      <c r="P31"/>
    </row>
    <row r="32" spans="1:16" s="1" customFormat="1" x14ac:dyDescent="0.3">
      <c r="B32" s="54" t="s">
        <v>262</v>
      </c>
      <c r="C32" s="8"/>
      <c r="D32" s="8"/>
      <c r="E32" s="8"/>
      <c r="G32" s="23"/>
      <c r="K32"/>
      <c r="M32"/>
      <c r="P32"/>
    </row>
    <row r="33" spans="1:16" s="1" customFormat="1" x14ac:dyDescent="0.3">
      <c r="B33" s="54" t="s">
        <v>262</v>
      </c>
      <c r="C33" s="8"/>
      <c r="D33" s="8"/>
      <c r="E33" s="8"/>
      <c r="G33" s="23"/>
      <c r="K33"/>
      <c r="M33"/>
      <c r="P33"/>
    </row>
    <row r="34" spans="1:16" s="1" customFormat="1" x14ac:dyDescent="0.3">
      <c r="B34" t="s">
        <v>239</v>
      </c>
      <c r="C34" s="8"/>
      <c r="D34" s="8"/>
      <c r="E34" s="8"/>
      <c r="G34" s="23"/>
      <c r="H34" s="1">
        <f>6*60*4</f>
        <v>1440</v>
      </c>
      <c r="K34"/>
      <c r="M34"/>
      <c r="P34"/>
    </row>
    <row r="35" spans="1:16" s="1" customFormat="1" x14ac:dyDescent="0.3">
      <c r="B35" t="s">
        <v>48</v>
      </c>
      <c r="C35" s="8"/>
      <c r="D35" s="8"/>
      <c r="E35" s="8"/>
      <c r="G35" s="23"/>
      <c r="J35" s="3" t="s">
        <v>269</v>
      </c>
      <c r="M35"/>
      <c r="P35"/>
    </row>
    <row r="36" spans="1:16" x14ac:dyDescent="0.3">
      <c r="A36" s="1"/>
      <c r="B36" t="s">
        <v>240</v>
      </c>
      <c r="C36" s="8"/>
      <c r="D36" s="8"/>
      <c r="G36" s="23"/>
      <c r="J36" s="1" t="s">
        <v>270</v>
      </c>
      <c r="K36" s="55">
        <v>1300</v>
      </c>
    </row>
    <row r="37" spans="1:16" x14ac:dyDescent="0.3">
      <c r="A37" s="1"/>
      <c r="B37" t="s">
        <v>126</v>
      </c>
      <c r="C37" s="50">
        <v>4750.2</v>
      </c>
      <c r="D37" s="8"/>
      <c r="F37" s="29">
        <v>49247.8</v>
      </c>
      <c r="G37" s="23"/>
      <c r="J37" s="1" t="s">
        <v>273</v>
      </c>
      <c r="K37" s="55">
        <v>1000</v>
      </c>
    </row>
    <row r="38" spans="1:16" x14ac:dyDescent="0.3">
      <c r="A38" s="1"/>
      <c r="B38" t="s">
        <v>50</v>
      </c>
      <c r="C38" s="8"/>
      <c r="D38" s="8"/>
      <c r="G38" s="23"/>
      <c r="J38" s="1" t="s">
        <v>272</v>
      </c>
      <c r="K38" s="55">
        <v>800</v>
      </c>
    </row>
    <row r="39" spans="1:16" x14ac:dyDescent="0.3">
      <c r="A39" s="1"/>
      <c r="C39" s="8"/>
      <c r="D39" s="8"/>
      <c r="F39" s="8"/>
      <c r="G39" s="23"/>
      <c r="H39" s="8"/>
      <c r="I39" s="8"/>
      <c r="J39" s="1" t="s">
        <v>271</v>
      </c>
      <c r="K39" s="55">
        <v>700</v>
      </c>
      <c r="L39" s="8"/>
      <c r="N39" s="8"/>
      <c r="O39" s="8"/>
    </row>
    <row r="40" spans="1:16" x14ac:dyDescent="0.3">
      <c r="A40" s="8"/>
      <c r="B40" s="8"/>
      <c r="C40" s="8"/>
      <c r="D40" s="8"/>
      <c r="F40" s="15">
        <f>SUM(F2:F33)</f>
        <v>139371</v>
      </c>
      <c r="G40" s="23"/>
      <c r="K40" s="55"/>
    </row>
    <row r="41" spans="1:16" x14ac:dyDescent="0.3">
      <c r="C41" s="15">
        <f>SUM(C2:C39)</f>
        <v>180013.84000000003</v>
      </c>
      <c r="D41" s="34">
        <f>SUM(D2:D39)</f>
        <v>38952.300000000003</v>
      </c>
      <c r="E41" s="23"/>
      <c r="K41" s="1"/>
    </row>
    <row r="42" spans="1:16" x14ac:dyDescent="0.3">
      <c r="C42" s="38"/>
      <c r="E42" s="45"/>
      <c r="K42" s="1"/>
    </row>
    <row r="43" spans="1:16" s="1" customFormat="1" x14ac:dyDescent="0.3">
      <c r="A43"/>
      <c r="B43"/>
      <c r="C43" s="38"/>
      <c r="E43" s="45"/>
      <c r="G43" s="8"/>
      <c r="M43"/>
      <c r="P43"/>
    </row>
    <row r="44" spans="1:16" s="1" customFormat="1" x14ac:dyDescent="0.3">
      <c r="A44"/>
      <c r="E44" s="45"/>
      <c r="G44" s="8"/>
      <c r="M44"/>
      <c r="P44"/>
    </row>
    <row r="45" spans="1:16" s="1" customFormat="1" x14ac:dyDescent="0.3">
      <c r="A45"/>
      <c r="C45" s="8"/>
      <c r="D45" s="1">
        <f>D44*3</f>
        <v>0</v>
      </c>
      <c r="E45" s="45"/>
      <c r="G45" s="8"/>
      <c r="K45"/>
      <c r="M45"/>
      <c r="P45"/>
    </row>
    <row r="46" spans="1:16" s="1" customFormat="1" x14ac:dyDescent="0.3">
      <c r="B46"/>
      <c r="C46" s="8"/>
      <c r="D46" s="1">
        <f>997/1661</f>
        <v>0.60024081878386515</v>
      </c>
      <c r="E46" s="45"/>
      <c r="G46" s="8"/>
      <c r="K46"/>
      <c r="M46"/>
    </row>
    <row r="47" spans="1:16" s="1" customFormat="1" x14ac:dyDescent="0.3">
      <c r="A47"/>
      <c r="B47"/>
      <c r="C47" s="38"/>
      <c r="E47" s="45"/>
      <c r="G47" s="8"/>
      <c r="K47"/>
      <c r="M47"/>
      <c r="P47"/>
    </row>
    <row r="48" spans="1:16" s="1" customFormat="1" x14ac:dyDescent="0.3">
      <c r="B48" s="49" t="s">
        <v>218</v>
      </c>
      <c r="C48" s="1" t="s">
        <v>219</v>
      </c>
      <c r="E48" s="45"/>
      <c r="G48" s="8"/>
      <c r="K48"/>
      <c r="M48"/>
    </row>
    <row r="49" spans="1:16" s="1" customFormat="1" x14ac:dyDescent="0.3">
      <c r="B49" t="s">
        <v>220</v>
      </c>
      <c r="C49" s="1" t="s">
        <v>219</v>
      </c>
      <c r="E49" s="8"/>
      <c r="G49" s="8"/>
      <c r="M49"/>
    </row>
    <row r="50" spans="1:16" s="1" customFormat="1" x14ac:dyDescent="0.3">
      <c r="B50" t="s">
        <v>221</v>
      </c>
      <c r="C50" s="1" t="s">
        <v>219</v>
      </c>
      <c r="D50" s="1">
        <f>25*50</f>
        <v>1250</v>
      </c>
      <c r="E50" s="8"/>
      <c r="G50" s="8"/>
      <c r="M50"/>
    </row>
    <row r="51" spans="1:16" x14ac:dyDescent="0.3">
      <c r="B51" t="s">
        <v>222</v>
      </c>
      <c r="C51" s="1" t="s">
        <v>219</v>
      </c>
      <c r="D51" s="1">
        <f>D50</f>
        <v>1250</v>
      </c>
      <c r="I51" s="1">
        <v>96000</v>
      </c>
      <c r="K51" s="1"/>
    </row>
    <row r="52" spans="1:16" x14ac:dyDescent="0.3">
      <c r="B52" t="s">
        <v>225</v>
      </c>
      <c r="C52" s="1" t="s">
        <v>223</v>
      </c>
      <c r="D52" s="1">
        <f>D50*5</f>
        <v>6250</v>
      </c>
      <c r="I52" s="1">
        <v>30000</v>
      </c>
      <c r="K52" s="1"/>
    </row>
    <row r="53" spans="1:16" s="1" customFormat="1" x14ac:dyDescent="0.3">
      <c r="A53"/>
      <c r="B53" t="s">
        <v>224</v>
      </c>
      <c r="C53" s="1" t="s">
        <v>223</v>
      </c>
      <c r="E53" s="8"/>
      <c r="G53" s="8"/>
      <c r="H53" s="1" t="s">
        <v>242</v>
      </c>
      <c r="I53" s="38">
        <f>-85800*1.04</f>
        <v>-89232</v>
      </c>
      <c r="J53" s="1">
        <v>80000</v>
      </c>
      <c r="K53" s="1">
        <f>J53*1.045</f>
        <v>83600</v>
      </c>
      <c r="M53"/>
      <c r="P53"/>
    </row>
    <row r="54" spans="1:16" s="1" customFormat="1" x14ac:dyDescent="0.3">
      <c r="A54"/>
      <c r="B54"/>
      <c r="E54" s="8"/>
      <c r="G54" s="8"/>
      <c r="H54" s="1" t="s">
        <v>1</v>
      </c>
      <c r="I54" s="38">
        <v>-20000</v>
      </c>
      <c r="K54" s="1">
        <v>20000</v>
      </c>
      <c r="M54"/>
      <c r="P54"/>
    </row>
    <row r="55" spans="1:16" s="1" customFormat="1" x14ac:dyDescent="0.3">
      <c r="A55"/>
      <c r="B55"/>
      <c r="E55" s="8"/>
      <c r="G55" s="8"/>
      <c r="H55" s="1" t="s">
        <v>243</v>
      </c>
      <c r="I55" s="38">
        <f>-16.9*1.16*500</f>
        <v>-9801.9999999999982</v>
      </c>
      <c r="K55" s="1">
        <v>10000</v>
      </c>
      <c r="M55"/>
      <c r="P55"/>
    </row>
    <row r="56" spans="1:16" s="1" customFormat="1" x14ac:dyDescent="0.3">
      <c r="A56"/>
      <c r="B56"/>
      <c r="E56" s="8"/>
      <c r="G56" s="8"/>
      <c r="I56" s="38">
        <f>SUM(I51:I55)</f>
        <v>6966.0000000000018</v>
      </c>
      <c r="K56" s="1">
        <f>SUM(K53:K55)</f>
        <v>113600</v>
      </c>
      <c r="M56"/>
      <c r="P56"/>
    </row>
    <row r="57" spans="1:16" s="1" customFormat="1" x14ac:dyDescent="0.3">
      <c r="A57"/>
      <c r="B57"/>
      <c r="E57" s="8"/>
      <c r="G57" s="8"/>
      <c r="K57" s="1">
        <f>I51+I52-K56</f>
        <v>12400</v>
      </c>
      <c r="M57"/>
      <c r="P57"/>
    </row>
    <row r="58" spans="1:16" s="1" customFormat="1" x14ac:dyDescent="0.3">
      <c r="A58"/>
      <c r="B58"/>
      <c r="E58" s="8"/>
      <c r="G58" s="8"/>
      <c r="M58"/>
      <c r="P58"/>
    </row>
  </sheetData>
  <sortState xmlns:xlrd2="http://schemas.microsoft.com/office/spreadsheetml/2017/richdata2" ref="B8:F38">
    <sortCondition ref="B8:B3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54D6-627F-4C4A-931A-80389D72BA25}">
  <dimension ref="A1:P61"/>
  <sheetViews>
    <sheetView workbookViewId="0">
      <selection activeCell="C31" sqref="C31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1.441406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8.33203125" style="1" customWidth="1"/>
    <col min="11" max="11" width="18.44140625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3" x14ac:dyDescent="0.3">
      <c r="B1" s="2" t="s">
        <v>244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3" x14ac:dyDescent="0.3">
      <c r="B2" t="s">
        <v>44</v>
      </c>
      <c r="C2" s="50">
        <v>110000</v>
      </c>
      <c r="D2" s="8"/>
      <c r="H2" s="1" t="s">
        <v>169</v>
      </c>
      <c r="I2" s="1">
        <v>121000</v>
      </c>
      <c r="J2" s="51">
        <v>46139</v>
      </c>
      <c r="M2" s="2"/>
    </row>
    <row r="3" spans="2:13" x14ac:dyDescent="0.3">
      <c r="B3" t="s">
        <v>259</v>
      </c>
      <c r="C3" s="50">
        <v>10000</v>
      </c>
      <c r="D3" s="8"/>
      <c r="H3" s="1" t="s">
        <v>245</v>
      </c>
      <c r="I3" s="1">
        <v>212976</v>
      </c>
      <c r="J3" s="51">
        <v>46142</v>
      </c>
      <c r="M3" s="2"/>
    </row>
    <row r="4" spans="2:13" x14ac:dyDescent="0.3">
      <c r="B4" t="s">
        <v>258</v>
      </c>
      <c r="C4" s="50">
        <v>15645</v>
      </c>
      <c r="D4" s="8"/>
      <c r="J4" s="51"/>
      <c r="M4" s="2"/>
    </row>
    <row r="5" spans="2:13" x14ac:dyDescent="0.3">
      <c r="B5" t="s">
        <v>45</v>
      </c>
      <c r="C5" s="50">
        <f>I19</f>
        <v>19750</v>
      </c>
      <c r="D5" s="8"/>
      <c r="H5" s="1" t="s">
        <v>246</v>
      </c>
      <c r="J5" s="51" t="s">
        <v>250</v>
      </c>
      <c r="M5" s="2"/>
    </row>
    <row r="6" spans="2:13" x14ac:dyDescent="0.3">
      <c r="B6" t="s">
        <v>105</v>
      </c>
      <c r="C6" s="50">
        <f>(D2+D3+D5+C2+C3+C5+C4+D4)*0.042</f>
        <v>6526.59</v>
      </c>
      <c r="D6" s="8"/>
      <c r="J6" s="51"/>
      <c r="M6" s="2"/>
    </row>
    <row r="7" spans="2:13" x14ac:dyDescent="0.3">
      <c r="B7" t="s">
        <v>16</v>
      </c>
      <c r="C7" s="8"/>
      <c r="D7" s="8"/>
      <c r="H7" s="1" t="s">
        <v>237</v>
      </c>
      <c r="M7" s="2"/>
    </row>
    <row r="8" spans="2:13" x14ac:dyDescent="0.3">
      <c r="B8" s="53" t="s">
        <v>265</v>
      </c>
      <c r="C8" s="50">
        <v>10788</v>
      </c>
      <c r="D8" s="8"/>
      <c r="I8" s="15">
        <f>SUM(I2:I7)</f>
        <v>333976</v>
      </c>
      <c r="M8" s="2"/>
    </row>
    <row r="9" spans="2:13" x14ac:dyDescent="0.3">
      <c r="B9" s="53" t="s">
        <v>264</v>
      </c>
      <c r="C9" s="50">
        <f>3626+3596</f>
        <v>7222</v>
      </c>
      <c r="D9" s="8"/>
      <c r="H9" s="1" t="s">
        <v>90</v>
      </c>
      <c r="I9" s="35">
        <f>I8-C46</f>
        <v>3331.679999999993</v>
      </c>
      <c r="M9" s="2"/>
    </row>
    <row r="10" spans="2:13" x14ac:dyDescent="0.3">
      <c r="B10" s="33" t="s">
        <v>31</v>
      </c>
      <c r="C10" s="50">
        <v>10000</v>
      </c>
      <c r="M10" s="2"/>
    </row>
    <row r="11" spans="2:13" x14ac:dyDescent="0.3">
      <c r="B11" t="s">
        <v>8</v>
      </c>
      <c r="C11" s="50">
        <v>2784</v>
      </c>
      <c r="D11" s="8"/>
      <c r="F11" s="8"/>
      <c r="M11" s="2"/>
    </row>
    <row r="12" spans="2:13" x14ac:dyDescent="0.3">
      <c r="B12" t="s">
        <v>32</v>
      </c>
      <c r="C12" s="8">
        <f>4476.15*2</f>
        <v>8952.2999999999993</v>
      </c>
      <c r="H12" t="s">
        <v>189</v>
      </c>
      <c r="M12" s="2"/>
    </row>
    <row r="13" spans="2:13" x14ac:dyDescent="0.3">
      <c r="B13" t="s">
        <v>95</v>
      </c>
      <c r="C13" s="8"/>
      <c r="F13" s="8"/>
      <c r="H13" t="s">
        <v>64</v>
      </c>
      <c r="I13" s="1">
        <v>4000</v>
      </c>
      <c r="M13" s="2"/>
    </row>
    <row r="14" spans="2:13" x14ac:dyDescent="0.3">
      <c r="B14" t="s">
        <v>212</v>
      </c>
      <c r="C14" s="50">
        <v>3795.01</v>
      </c>
      <c r="D14" s="8"/>
      <c r="H14" t="s">
        <v>66</v>
      </c>
      <c r="I14" s="1">
        <v>3000</v>
      </c>
      <c r="J14" s="1" t="s">
        <v>255</v>
      </c>
      <c r="M14" s="2"/>
    </row>
    <row r="15" spans="2:13" x14ac:dyDescent="0.3">
      <c r="B15" t="s">
        <v>48</v>
      </c>
      <c r="C15" s="8"/>
      <c r="D15" s="8"/>
      <c r="H15" t="s">
        <v>232</v>
      </c>
      <c r="I15" s="1">
        <v>2800</v>
      </c>
      <c r="M15" s="2"/>
    </row>
    <row r="16" spans="2:13" x14ac:dyDescent="0.3">
      <c r="B16" t="s">
        <v>50</v>
      </c>
      <c r="C16" s="8"/>
      <c r="D16" s="8"/>
      <c r="F16" s="29">
        <v>49247.8</v>
      </c>
      <c r="H16" t="s">
        <v>67</v>
      </c>
      <c r="I16" s="1">
        <v>1950</v>
      </c>
    </row>
    <row r="17" spans="1:16" x14ac:dyDescent="0.3">
      <c r="B17" t="s">
        <v>226</v>
      </c>
      <c r="C17" s="50">
        <v>14500</v>
      </c>
      <c r="D17" s="8"/>
      <c r="F17" s="29"/>
      <c r="H17" t="s">
        <v>22</v>
      </c>
      <c r="I17" s="1">
        <v>3000</v>
      </c>
    </row>
    <row r="18" spans="1:16" x14ac:dyDescent="0.3">
      <c r="B18" t="s">
        <v>128</v>
      </c>
      <c r="C18" s="8"/>
      <c r="D18" s="8"/>
      <c r="H18" t="s">
        <v>233</v>
      </c>
      <c r="I18" s="38">
        <v>5000</v>
      </c>
      <c r="J18" s="1">
        <v>3000</v>
      </c>
      <c r="K18" t="s">
        <v>254</v>
      </c>
    </row>
    <row r="19" spans="1:16" x14ac:dyDescent="0.3">
      <c r="B19" t="s">
        <v>216</v>
      </c>
      <c r="C19" s="8"/>
      <c r="D19" s="8"/>
      <c r="E19" s="8">
        <v>32480</v>
      </c>
      <c r="I19" s="3">
        <f>SUM(I13:I18)</f>
        <v>19750</v>
      </c>
    </row>
    <row r="21" spans="1:16" x14ac:dyDescent="0.3">
      <c r="A21" s="1"/>
      <c r="B21" t="s">
        <v>170</v>
      </c>
      <c r="C21" s="50">
        <v>3970.21</v>
      </c>
      <c r="D21" s="8"/>
      <c r="F21" s="8"/>
    </row>
    <row r="22" spans="1:16" s="1" customFormat="1" x14ac:dyDescent="0.3">
      <c r="B22" s="1" t="s">
        <v>192</v>
      </c>
      <c r="C22" s="50">
        <v>15370</v>
      </c>
      <c r="E22" s="8"/>
      <c r="G22" s="8"/>
      <c r="H22" t="s">
        <v>135</v>
      </c>
      <c r="I22" s="1">
        <v>3500</v>
      </c>
      <c r="K22"/>
      <c r="L22" s="1">
        <f>17+5+13</f>
        <v>35</v>
      </c>
      <c r="M22"/>
      <c r="P22"/>
    </row>
    <row r="23" spans="1:16" s="1" customFormat="1" x14ac:dyDescent="0.3">
      <c r="B23" s="1" t="s">
        <v>192</v>
      </c>
      <c r="C23" s="8"/>
      <c r="E23" s="8">
        <v>15370</v>
      </c>
      <c r="G23" s="8"/>
      <c r="H23"/>
      <c r="I23" s="1">
        <f>I19+4000</f>
        <v>23750</v>
      </c>
      <c r="K23"/>
      <c r="L23" s="1">
        <v>57</v>
      </c>
      <c r="M23"/>
      <c r="P23"/>
    </row>
    <row r="24" spans="1:16" s="1" customFormat="1" x14ac:dyDescent="0.3">
      <c r="B24" s="1" t="s">
        <v>235</v>
      </c>
      <c r="C24" s="8"/>
      <c r="E24" s="8"/>
      <c r="G24" s="8"/>
      <c r="H24"/>
      <c r="K24"/>
      <c r="L24" s="1">
        <f>SUM(L22:L23)</f>
        <v>92</v>
      </c>
      <c r="M24"/>
      <c r="P24"/>
    </row>
    <row r="25" spans="1:16" s="1" customFormat="1" x14ac:dyDescent="0.3">
      <c r="B25" s="1" t="s">
        <v>109</v>
      </c>
      <c r="C25" s="8"/>
      <c r="D25" s="8"/>
      <c r="E25" s="8"/>
      <c r="G25" s="8"/>
      <c r="K25"/>
      <c r="M25"/>
      <c r="P25"/>
    </row>
    <row r="26" spans="1:16" s="1" customFormat="1" x14ac:dyDescent="0.3">
      <c r="B26" s="8" t="s">
        <v>126</v>
      </c>
      <c r="C26" s="8"/>
      <c r="D26" s="52">
        <v>4750.2</v>
      </c>
      <c r="E26" s="8"/>
      <c r="G26" s="8"/>
      <c r="H26"/>
      <c r="K26"/>
      <c r="M26"/>
      <c r="P26"/>
    </row>
    <row r="27" spans="1:16" s="1" customFormat="1" x14ac:dyDescent="0.3">
      <c r="B27" s="1" t="s">
        <v>217</v>
      </c>
      <c r="C27" s="8"/>
      <c r="D27" s="8"/>
      <c r="E27" s="8"/>
      <c r="F27" s="16">
        <v>30000</v>
      </c>
      <c r="G27" s="23"/>
      <c r="H27">
        <f>1600/15</f>
        <v>106.66666666666667</v>
      </c>
      <c r="I27" s="3"/>
      <c r="K27"/>
      <c r="M27"/>
      <c r="P27"/>
    </row>
    <row r="28" spans="1:16" s="1" customFormat="1" x14ac:dyDescent="0.3">
      <c r="B28" s="1" t="s">
        <v>18</v>
      </c>
      <c r="C28" s="8"/>
      <c r="E28" s="8"/>
      <c r="F28" s="16"/>
      <c r="G28" s="23"/>
      <c r="H28" s="1">
        <f>H27/30</f>
        <v>3.5555555555555558</v>
      </c>
      <c r="K28"/>
      <c r="M28"/>
      <c r="P28"/>
    </row>
    <row r="29" spans="1:16" s="1" customFormat="1" x14ac:dyDescent="0.3">
      <c r="B29" s="1" t="s">
        <v>138</v>
      </c>
      <c r="C29" s="8"/>
      <c r="D29" s="8"/>
      <c r="E29" s="8"/>
      <c r="F29" s="1">
        <f>47000</f>
        <v>47000</v>
      </c>
      <c r="G29" s="23"/>
      <c r="K29"/>
      <c r="M29"/>
      <c r="P29"/>
    </row>
    <row r="30" spans="1:16" s="1" customFormat="1" x14ac:dyDescent="0.3">
      <c r="B30" s="1" t="s">
        <v>156</v>
      </c>
      <c r="C30" s="8"/>
      <c r="E30" s="8"/>
      <c r="G30" s="23"/>
      <c r="K30"/>
      <c r="M30"/>
      <c r="P30"/>
    </row>
    <row r="31" spans="1:16" s="1" customFormat="1" x14ac:dyDescent="0.3">
      <c r="B31" s="1" t="s">
        <v>155</v>
      </c>
      <c r="C31" s="50">
        <v>9135</v>
      </c>
      <c r="D31" s="8"/>
      <c r="E31" s="8"/>
      <c r="G31" s="23"/>
      <c r="K31"/>
      <c r="M31"/>
      <c r="P31"/>
    </row>
    <row r="32" spans="1:16" s="1" customFormat="1" x14ac:dyDescent="0.3">
      <c r="B32" s="1" t="s">
        <v>155</v>
      </c>
      <c r="C32" s="50">
        <v>11629</v>
      </c>
      <c r="D32" s="8"/>
      <c r="E32" s="8"/>
      <c r="G32" s="23"/>
      <c r="K32"/>
      <c r="M32"/>
      <c r="P32"/>
    </row>
    <row r="33" spans="1:16" s="1" customFormat="1" x14ac:dyDescent="0.3">
      <c r="B33" s="1" t="s">
        <v>155</v>
      </c>
      <c r="C33" s="50">
        <v>9135</v>
      </c>
      <c r="D33" s="8"/>
      <c r="E33" s="8"/>
      <c r="G33" s="23"/>
      <c r="K33"/>
      <c r="M33"/>
      <c r="P33"/>
    </row>
    <row r="34" spans="1:16" s="1" customFormat="1" x14ac:dyDescent="0.3">
      <c r="B34" s="1" t="s">
        <v>135</v>
      </c>
      <c r="C34" s="50">
        <f>14200+5400</f>
        <v>19600</v>
      </c>
      <c r="D34" s="8"/>
      <c r="E34" s="8"/>
      <c r="G34" s="23"/>
      <c r="K34"/>
      <c r="M34"/>
      <c r="P34"/>
    </row>
    <row r="35" spans="1:16" s="1" customFormat="1" x14ac:dyDescent="0.3">
      <c r="B35" s="1" t="s">
        <v>253</v>
      </c>
      <c r="C35" s="50">
        <v>520</v>
      </c>
      <c r="D35" s="8"/>
      <c r="E35" s="8"/>
      <c r="G35" s="23"/>
      <c r="K35"/>
      <c r="M35"/>
      <c r="P35"/>
    </row>
    <row r="36" spans="1:16" s="1" customFormat="1" x14ac:dyDescent="0.3">
      <c r="B36" s="1" t="s">
        <v>239</v>
      </c>
      <c r="C36" s="8"/>
      <c r="D36" s="8"/>
      <c r="E36" s="8"/>
      <c r="G36" s="23"/>
      <c r="K36"/>
      <c r="M36"/>
      <c r="P36"/>
    </row>
    <row r="37" spans="1:16" s="1" customFormat="1" x14ac:dyDescent="0.3">
      <c r="B37" s="1" t="s">
        <v>240</v>
      </c>
      <c r="C37" s="8"/>
      <c r="D37" s="8"/>
      <c r="E37" s="8"/>
      <c r="G37" s="23"/>
      <c r="H37" s="1">
        <f>6*60*4</f>
        <v>1440</v>
      </c>
      <c r="K37"/>
      <c r="M37"/>
      <c r="P37"/>
    </row>
    <row r="38" spans="1:16" s="1" customFormat="1" x14ac:dyDescent="0.3">
      <c r="B38" s="1" t="s">
        <v>256</v>
      </c>
      <c r="C38" s="50">
        <v>1076</v>
      </c>
      <c r="D38" s="8"/>
      <c r="E38" s="8"/>
      <c r="G38" s="23"/>
      <c r="K38"/>
      <c r="M38"/>
      <c r="P38"/>
    </row>
    <row r="39" spans="1:16" x14ac:dyDescent="0.3">
      <c r="A39" s="1"/>
      <c r="B39" s="1" t="s">
        <v>252</v>
      </c>
      <c r="C39" s="50">
        <v>600</v>
      </c>
      <c r="G39" s="23"/>
    </row>
    <row r="40" spans="1:16" x14ac:dyDescent="0.3">
      <c r="A40" s="1"/>
      <c r="B40" s="1" t="s">
        <v>249</v>
      </c>
      <c r="C40" s="50">
        <v>10000</v>
      </c>
      <c r="D40" s="8"/>
      <c r="G40" s="23"/>
    </row>
    <row r="41" spans="1:16" x14ac:dyDescent="0.3">
      <c r="A41" s="1"/>
      <c r="B41" s="1" t="s">
        <v>257</v>
      </c>
      <c r="C41" s="50">
        <v>3310</v>
      </c>
      <c r="D41" s="8"/>
      <c r="G41" s="23"/>
    </row>
    <row r="42" spans="1:16" x14ac:dyDescent="0.3">
      <c r="A42" s="1"/>
      <c r="B42" s="1" t="s">
        <v>234</v>
      </c>
      <c r="C42" s="50">
        <f>7020+3000+1910+290</f>
        <v>12220</v>
      </c>
      <c r="D42" s="8"/>
      <c r="G42" s="23"/>
    </row>
    <row r="43" spans="1:16" x14ac:dyDescent="0.3">
      <c r="A43" s="1"/>
      <c r="B43" s="1" t="s">
        <v>251</v>
      </c>
      <c r="C43" s="50">
        <v>2516.21</v>
      </c>
      <c r="D43" s="8"/>
      <c r="G43" s="23"/>
    </row>
    <row r="44" spans="1:16" x14ac:dyDescent="0.3">
      <c r="A44" s="1"/>
      <c r="B44" s="1" t="s">
        <v>228</v>
      </c>
      <c r="C44" s="50">
        <v>11600</v>
      </c>
      <c r="D44" s="8" t="s">
        <v>248</v>
      </c>
      <c r="G44" s="23"/>
    </row>
    <row r="45" spans="1:16" x14ac:dyDescent="0.3">
      <c r="A45" s="1"/>
      <c r="B45" s="1" t="s">
        <v>247</v>
      </c>
      <c r="C45" s="50">
        <v>2900</v>
      </c>
      <c r="D45" s="8"/>
      <c r="G45" s="23"/>
    </row>
    <row r="46" spans="1:16" s="1" customFormat="1" x14ac:dyDescent="0.3">
      <c r="A46"/>
      <c r="B46"/>
      <c r="C46" s="15">
        <f>SUM(C2:C44)</f>
        <v>330644.32</v>
      </c>
      <c r="D46" s="34">
        <f>SUM(D2:D44)</f>
        <v>4750.2</v>
      </c>
      <c r="E46" s="23"/>
      <c r="F46" s="15">
        <f>SUM(F2:F39)</f>
        <v>126247.8</v>
      </c>
      <c r="G46" s="23"/>
      <c r="K46"/>
      <c r="M46"/>
      <c r="P46"/>
    </row>
    <row r="47" spans="1:16" s="1" customFormat="1" x14ac:dyDescent="0.3">
      <c r="A47"/>
      <c r="B47"/>
      <c r="C47" s="38"/>
      <c r="E47" s="45"/>
      <c r="G47" s="8"/>
      <c r="K47"/>
      <c r="M47"/>
      <c r="P47"/>
    </row>
    <row r="48" spans="1:16" s="1" customFormat="1" x14ac:dyDescent="0.3">
      <c r="A48"/>
      <c r="B48"/>
      <c r="C48" s="38"/>
      <c r="E48" s="45"/>
      <c r="G48" s="8"/>
      <c r="K48"/>
      <c r="M48"/>
      <c r="P48"/>
    </row>
    <row r="49" spans="1:16" s="1" customFormat="1" x14ac:dyDescent="0.3">
      <c r="A49"/>
      <c r="E49" s="45"/>
      <c r="G49" s="8"/>
      <c r="K49"/>
      <c r="M49"/>
    </row>
    <row r="50" spans="1:16" s="1" customFormat="1" x14ac:dyDescent="0.3">
      <c r="A50"/>
      <c r="C50" s="8"/>
      <c r="D50" s="1">
        <f>D49*3</f>
        <v>0</v>
      </c>
      <c r="E50" s="45"/>
      <c r="G50" s="8"/>
      <c r="K50"/>
      <c r="M50"/>
      <c r="P50"/>
    </row>
    <row r="51" spans="1:16" s="1" customFormat="1" x14ac:dyDescent="0.3">
      <c r="B51"/>
      <c r="C51" s="8"/>
      <c r="E51" s="45"/>
      <c r="G51" s="8"/>
      <c r="K51"/>
      <c r="M51"/>
    </row>
    <row r="52" spans="1:16" s="1" customFormat="1" x14ac:dyDescent="0.3">
      <c r="A52"/>
      <c r="B52"/>
      <c r="C52" s="38"/>
      <c r="E52" s="45"/>
      <c r="G52" s="8"/>
      <c r="M52"/>
    </row>
    <row r="53" spans="1:16" s="1" customFormat="1" x14ac:dyDescent="0.3">
      <c r="B53" s="49" t="s">
        <v>218</v>
      </c>
      <c r="C53" s="1" t="s">
        <v>219</v>
      </c>
      <c r="E53" s="45"/>
      <c r="G53" s="8"/>
      <c r="M53"/>
    </row>
    <row r="54" spans="1:16" x14ac:dyDescent="0.3">
      <c r="A54" s="1"/>
      <c r="B54" t="s">
        <v>220</v>
      </c>
      <c r="C54" s="1" t="s">
        <v>219</v>
      </c>
      <c r="I54" s="1">
        <v>96000</v>
      </c>
      <c r="K54" s="1"/>
    </row>
    <row r="55" spans="1:16" x14ac:dyDescent="0.3">
      <c r="A55" s="1"/>
      <c r="B55" t="s">
        <v>221</v>
      </c>
      <c r="C55" s="1" t="s">
        <v>219</v>
      </c>
      <c r="I55" s="1">
        <v>30000</v>
      </c>
      <c r="K55" s="1"/>
    </row>
    <row r="56" spans="1:16" s="1" customFormat="1" x14ac:dyDescent="0.3">
      <c r="A56"/>
      <c r="B56" t="s">
        <v>222</v>
      </c>
      <c r="C56" s="1" t="s">
        <v>219</v>
      </c>
      <c r="E56" s="8"/>
      <c r="G56" s="8"/>
      <c r="H56" s="1" t="s">
        <v>242</v>
      </c>
      <c r="I56" s="38">
        <f>-85800*1.04</f>
        <v>-89232</v>
      </c>
      <c r="J56" s="1">
        <v>80000</v>
      </c>
      <c r="K56" s="1">
        <f>J56*1.045</f>
        <v>83600</v>
      </c>
      <c r="M56"/>
      <c r="P56"/>
    </row>
    <row r="57" spans="1:16" s="1" customFormat="1" x14ac:dyDescent="0.3">
      <c r="A57"/>
      <c r="B57" t="s">
        <v>225</v>
      </c>
      <c r="C57" s="1" t="s">
        <v>223</v>
      </c>
      <c r="E57" s="8"/>
      <c r="G57" s="8"/>
      <c r="H57" s="1" t="s">
        <v>1</v>
      </c>
      <c r="I57" s="38">
        <v>-20000</v>
      </c>
      <c r="K57" s="1">
        <v>20000</v>
      </c>
      <c r="M57"/>
      <c r="P57"/>
    </row>
    <row r="58" spans="1:16" s="1" customFormat="1" x14ac:dyDescent="0.3">
      <c r="A58"/>
      <c r="B58" t="s">
        <v>224</v>
      </c>
      <c r="C58" s="1" t="s">
        <v>223</v>
      </c>
      <c r="E58" s="8"/>
      <c r="G58" s="8"/>
      <c r="H58" s="1" t="s">
        <v>243</v>
      </c>
      <c r="I58" s="38">
        <f>-16.9*1.16*500</f>
        <v>-9801.9999999999982</v>
      </c>
      <c r="K58" s="1">
        <v>10000</v>
      </c>
      <c r="M58"/>
      <c r="P58"/>
    </row>
    <row r="59" spans="1:16" s="1" customFormat="1" x14ac:dyDescent="0.3">
      <c r="A59"/>
      <c r="B59"/>
      <c r="E59" s="8"/>
      <c r="G59" s="8"/>
      <c r="I59" s="38">
        <f>SUM(I54:I58)</f>
        <v>6966.0000000000018</v>
      </c>
      <c r="K59" s="1">
        <f>SUM(K56:K58)</f>
        <v>113600</v>
      </c>
      <c r="M59"/>
      <c r="P59"/>
    </row>
    <row r="60" spans="1:16" s="1" customFormat="1" x14ac:dyDescent="0.3">
      <c r="A60"/>
      <c r="B60"/>
      <c r="E60" s="8"/>
      <c r="G60" s="8"/>
      <c r="K60" s="1">
        <f>I54+I55-K59</f>
        <v>12400</v>
      </c>
      <c r="M60"/>
      <c r="P60"/>
    </row>
    <row r="61" spans="1:16" s="1" customFormat="1" x14ac:dyDescent="0.3">
      <c r="A61"/>
      <c r="B61"/>
      <c r="E61" s="8"/>
      <c r="G61" s="8"/>
      <c r="M61"/>
      <c r="P6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91CF-3976-4B47-8B83-7F3BBF3830B9}">
  <dimension ref="A1:Q54"/>
  <sheetViews>
    <sheetView workbookViewId="0">
      <selection activeCell="E14" sqref="E14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5" width="14.6640625" style="1" customWidth="1"/>
    <col min="6" max="6" width="11.44140625" style="8" bestFit="1" customWidth="1"/>
    <col min="7" max="7" width="12.44140625" style="1" bestFit="1" customWidth="1"/>
    <col min="8" max="8" width="4.6640625" style="8" customWidth="1"/>
    <col min="9" max="9" width="21.44140625" style="1" bestFit="1" customWidth="1"/>
    <col min="10" max="10" width="14.6640625" style="1" customWidth="1"/>
    <col min="11" max="11" width="11.109375" style="1" customWidth="1"/>
    <col min="12" max="12" width="18.44140625" customWidth="1"/>
    <col min="13" max="13" width="13.33203125" style="1" customWidth="1"/>
    <col min="14" max="14" width="26.44140625" customWidth="1"/>
    <col min="15" max="15" width="15.5546875" style="1" customWidth="1"/>
    <col min="16" max="16" width="11.5546875" style="1"/>
  </cols>
  <sheetData>
    <row r="1" spans="2:15" x14ac:dyDescent="0.3">
      <c r="B1" s="2" t="s">
        <v>229</v>
      </c>
      <c r="C1" s="30" t="s">
        <v>93</v>
      </c>
      <c r="D1" s="30" t="s">
        <v>94</v>
      </c>
      <c r="E1" s="30" t="s">
        <v>94</v>
      </c>
      <c r="F1" s="44"/>
      <c r="I1" s="3" t="s">
        <v>96</v>
      </c>
      <c r="J1" s="10">
        <v>152000</v>
      </c>
      <c r="L1" s="3"/>
      <c r="N1" s="1"/>
    </row>
    <row r="2" spans="2:15" x14ac:dyDescent="0.3">
      <c r="B2" t="s">
        <v>44</v>
      </c>
      <c r="C2" s="50">
        <v>110000</v>
      </c>
      <c r="D2" s="8"/>
      <c r="E2" s="8"/>
      <c r="I2" s="1" t="s">
        <v>169</v>
      </c>
      <c r="J2" s="1">
        <v>121000</v>
      </c>
      <c r="K2" s="51">
        <v>46137</v>
      </c>
      <c r="N2" s="2" t="s">
        <v>194</v>
      </c>
    </row>
    <row r="3" spans="2:15" x14ac:dyDescent="0.3">
      <c r="B3" t="s">
        <v>193</v>
      </c>
      <c r="C3" s="50"/>
      <c r="D3" s="8"/>
      <c r="E3" s="8"/>
      <c r="I3" s="1" t="s">
        <v>230</v>
      </c>
      <c r="J3" s="1">
        <v>126412</v>
      </c>
      <c r="K3" s="51">
        <v>46133</v>
      </c>
      <c r="M3"/>
    </row>
    <row r="4" spans="2:15" x14ac:dyDescent="0.3">
      <c r="B4" t="s">
        <v>45</v>
      </c>
      <c r="C4" s="50">
        <f>J19</f>
        <v>31050</v>
      </c>
      <c r="D4" s="8"/>
      <c r="E4" s="8"/>
      <c r="I4" s="1" t="s">
        <v>231</v>
      </c>
      <c r="J4" s="1">
        <v>126396.8</v>
      </c>
      <c r="K4" s="51">
        <v>46133</v>
      </c>
      <c r="M4"/>
      <c r="N4" t="s">
        <v>195</v>
      </c>
      <c r="O4" s="1">
        <v>5000</v>
      </c>
    </row>
    <row r="5" spans="2:15" x14ac:dyDescent="0.3">
      <c r="B5" t="s">
        <v>16</v>
      </c>
      <c r="C5" s="50">
        <v>40426.65</v>
      </c>
      <c r="D5" s="8"/>
      <c r="E5" s="8"/>
      <c r="I5" s="1" t="s">
        <v>231</v>
      </c>
      <c r="J5" s="1">
        <v>151064.4</v>
      </c>
      <c r="K5" s="51">
        <v>46135</v>
      </c>
      <c r="M5"/>
      <c r="N5" t="s">
        <v>196</v>
      </c>
      <c r="O5" s="1">
        <v>8120</v>
      </c>
    </row>
    <row r="6" spans="2:15" x14ac:dyDescent="0.3">
      <c r="B6" t="s">
        <v>16</v>
      </c>
      <c r="C6" s="8"/>
      <c r="D6" s="8"/>
      <c r="E6" s="8"/>
      <c r="I6" s="1" t="s">
        <v>237</v>
      </c>
      <c r="M6"/>
      <c r="N6" t="s">
        <v>197</v>
      </c>
      <c r="O6" s="1">
        <v>1000</v>
      </c>
    </row>
    <row r="7" spans="2:15" x14ac:dyDescent="0.3">
      <c r="B7" t="s">
        <v>186</v>
      </c>
      <c r="C7" s="50">
        <f>5379.5+1783.5+2551.12+3596</f>
        <v>13310.119999999999</v>
      </c>
      <c r="D7" s="8"/>
      <c r="E7" s="8"/>
      <c r="J7" s="15">
        <f>SUM(J2:J6)</f>
        <v>524873.19999999995</v>
      </c>
      <c r="M7"/>
      <c r="N7" t="s">
        <v>198</v>
      </c>
      <c r="O7" s="1">
        <v>500</v>
      </c>
    </row>
    <row r="8" spans="2:15" x14ac:dyDescent="0.3">
      <c r="B8" s="33" t="s">
        <v>31</v>
      </c>
      <c r="D8" s="46">
        <v>10000</v>
      </c>
      <c r="I8" s="1" t="s">
        <v>90</v>
      </c>
      <c r="J8" s="35">
        <f>J7-C39</f>
        <v>-16424.110000000102</v>
      </c>
      <c r="M8" s="48">
        <v>46099</v>
      </c>
      <c r="N8" t="s">
        <v>198</v>
      </c>
      <c r="O8" s="1">
        <v>1000</v>
      </c>
    </row>
    <row r="9" spans="2:15" x14ac:dyDescent="0.3">
      <c r="B9" t="s">
        <v>8</v>
      </c>
      <c r="C9" s="8"/>
      <c r="D9" s="8"/>
      <c r="E9" s="52">
        <v>2784</v>
      </c>
      <c r="G9" s="8"/>
      <c r="M9" s="48">
        <v>46100</v>
      </c>
      <c r="N9" t="s">
        <v>202</v>
      </c>
      <c r="O9" s="1">
        <v>1500</v>
      </c>
    </row>
    <row r="10" spans="2:15" x14ac:dyDescent="0.3">
      <c r="B10" t="s">
        <v>32</v>
      </c>
      <c r="C10" s="8"/>
      <c r="D10" s="8"/>
      <c r="E10" s="8"/>
      <c r="I10" t="s">
        <v>189</v>
      </c>
      <c r="M10" s="48">
        <v>46100</v>
      </c>
      <c r="N10" t="s">
        <v>202</v>
      </c>
      <c r="O10" s="1">
        <v>1000</v>
      </c>
    </row>
    <row r="11" spans="2:15" x14ac:dyDescent="0.3">
      <c r="B11" t="s">
        <v>95</v>
      </c>
      <c r="C11" s="8"/>
      <c r="F11" s="8">
        <v>6970</v>
      </c>
      <c r="G11" s="8">
        <v>8526</v>
      </c>
      <c r="I11" t="s">
        <v>64</v>
      </c>
      <c r="J11" s="1">
        <v>4000</v>
      </c>
      <c r="M11" s="48">
        <v>46101</v>
      </c>
      <c r="N11" t="s">
        <v>203</v>
      </c>
      <c r="O11" s="1">
        <v>1000</v>
      </c>
    </row>
    <row r="12" spans="2:15" x14ac:dyDescent="0.3">
      <c r="B12" t="s">
        <v>212</v>
      </c>
      <c r="D12" s="8"/>
      <c r="E12" s="52">
        <v>3795.01</v>
      </c>
      <c r="I12" t="s">
        <v>66</v>
      </c>
      <c r="J12" s="1">
        <v>3000</v>
      </c>
      <c r="O12" s="3">
        <f>SUM(O4:O11)</f>
        <v>19120</v>
      </c>
    </row>
    <row r="13" spans="2:15" x14ac:dyDescent="0.3">
      <c r="B13" t="s">
        <v>48</v>
      </c>
      <c r="C13" s="8"/>
      <c r="D13" s="8"/>
      <c r="E13" s="8"/>
      <c r="I13" t="s">
        <v>211</v>
      </c>
      <c r="J13" s="1">
        <v>5800</v>
      </c>
    </row>
    <row r="14" spans="2:15" x14ac:dyDescent="0.3">
      <c r="B14" t="s">
        <v>50</v>
      </c>
      <c r="C14" s="8"/>
      <c r="D14" s="8"/>
      <c r="E14" s="8"/>
      <c r="G14" s="29">
        <v>49247.8</v>
      </c>
      <c r="I14" s="1" t="s">
        <v>241</v>
      </c>
      <c r="J14" s="1">
        <v>2000</v>
      </c>
    </row>
    <row r="15" spans="2:15" x14ac:dyDescent="0.3">
      <c r="B15" t="s">
        <v>226</v>
      </c>
      <c r="C15" s="8"/>
      <c r="D15" s="5">
        <v>15000</v>
      </c>
      <c r="G15" s="29"/>
      <c r="I15" t="s">
        <v>232</v>
      </c>
      <c r="J15" s="1">
        <v>2800</v>
      </c>
    </row>
    <row r="16" spans="2:15" x14ac:dyDescent="0.3">
      <c r="B16" t="s">
        <v>128</v>
      </c>
      <c r="C16" s="50">
        <v>1441.56</v>
      </c>
      <c r="D16" s="8"/>
      <c r="E16" s="8"/>
      <c r="I16" t="s">
        <v>67</v>
      </c>
      <c r="J16" s="1">
        <v>1950</v>
      </c>
    </row>
    <row r="17" spans="1:17" x14ac:dyDescent="0.3">
      <c r="B17" t="s">
        <v>216</v>
      </c>
      <c r="C17" s="8"/>
      <c r="F17" s="8">
        <v>32480</v>
      </c>
      <c r="I17" t="s">
        <v>22</v>
      </c>
      <c r="J17" s="1">
        <v>3500</v>
      </c>
    </row>
    <row r="18" spans="1:17" x14ac:dyDescent="0.3">
      <c r="B18" t="s">
        <v>105</v>
      </c>
      <c r="C18" s="50">
        <f>(C2+C3+C4+E2+E3+E4+C35+C34)*0.042</f>
        <v>13727.7</v>
      </c>
      <c r="D18" s="8"/>
      <c r="E18" s="8"/>
      <c r="I18" t="s">
        <v>233</v>
      </c>
      <c r="J18" s="38">
        <v>8000</v>
      </c>
    </row>
    <row r="19" spans="1:17" x14ac:dyDescent="0.3">
      <c r="A19" s="1"/>
      <c r="B19" t="s">
        <v>170</v>
      </c>
      <c r="C19" s="8"/>
      <c r="D19" s="8"/>
      <c r="E19" s="52">
        <v>3970.21</v>
      </c>
      <c r="G19" s="8"/>
      <c r="J19" s="3">
        <f>SUM(J11:J18)</f>
        <v>31050</v>
      </c>
    </row>
    <row r="20" spans="1:17" s="1" customFormat="1" x14ac:dyDescent="0.3">
      <c r="B20" s="1" t="s">
        <v>192</v>
      </c>
      <c r="C20" s="8"/>
      <c r="D20" s="5">
        <v>15370</v>
      </c>
      <c r="F20" s="8"/>
      <c r="H20" s="8"/>
      <c r="I20" t="s">
        <v>135</v>
      </c>
      <c r="J20" s="1">
        <v>3500</v>
      </c>
      <c r="L20"/>
      <c r="M20" s="1">
        <f>17+5+13</f>
        <v>35</v>
      </c>
      <c r="N20"/>
      <c r="Q20"/>
    </row>
    <row r="21" spans="1:17" s="1" customFormat="1" x14ac:dyDescent="0.3">
      <c r="B21" s="1" t="s">
        <v>192</v>
      </c>
      <c r="C21" s="8"/>
      <c r="F21" s="8">
        <v>15370</v>
      </c>
      <c r="H21" s="8"/>
      <c r="I21"/>
      <c r="J21" s="1">
        <f>J19+4000</f>
        <v>35050</v>
      </c>
      <c r="L21"/>
      <c r="M21" s="1">
        <v>57</v>
      </c>
      <c r="N21"/>
      <c r="Q21"/>
    </row>
    <row r="22" spans="1:17" s="1" customFormat="1" x14ac:dyDescent="0.3">
      <c r="B22" s="1" t="s">
        <v>235</v>
      </c>
      <c r="C22" s="50">
        <f>57002.4+4640-30000</f>
        <v>31642.400000000001</v>
      </c>
      <c r="E22" s="8"/>
      <c r="F22" s="8"/>
      <c r="H22" s="8"/>
      <c r="I22"/>
      <c r="L22"/>
      <c r="M22" s="1">
        <f>SUM(M20:M21)</f>
        <v>92</v>
      </c>
      <c r="N22"/>
      <c r="Q22"/>
    </row>
    <row r="23" spans="1:17" s="1" customFormat="1" x14ac:dyDescent="0.3">
      <c r="B23" s="1" t="s">
        <v>109</v>
      </c>
      <c r="C23" s="8"/>
      <c r="D23" s="8"/>
      <c r="E23" s="8"/>
      <c r="F23" s="8"/>
      <c r="H23" s="8"/>
      <c r="L23"/>
      <c r="N23"/>
      <c r="Q23"/>
    </row>
    <row r="24" spans="1:17" s="1" customFormat="1" x14ac:dyDescent="0.3">
      <c r="B24" s="8" t="s">
        <v>126</v>
      </c>
      <c r="C24" s="8"/>
      <c r="D24" s="8"/>
      <c r="E24" s="52">
        <v>4750.2</v>
      </c>
      <c r="F24" s="8"/>
      <c r="H24" s="8"/>
      <c r="I24"/>
      <c r="L24"/>
      <c r="N24"/>
      <c r="Q24"/>
    </row>
    <row r="25" spans="1:17" s="1" customFormat="1" x14ac:dyDescent="0.3">
      <c r="B25" s="1" t="s">
        <v>217</v>
      </c>
      <c r="C25" s="8"/>
      <c r="D25" s="8"/>
      <c r="E25" s="8"/>
      <c r="F25" s="8"/>
      <c r="G25" s="16">
        <v>30000</v>
      </c>
      <c r="H25" s="23"/>
      <c r="I25">
        <f>1600/15</f>
        <v>106.66666666666667</v>
      </c>
      <c r="J25" s="3"/>
      <c r="L25"/>
      <c r="N25"/>
      <c r="Q25"/>
    </row>
    <row r="26" spans="1:17" s="1" customFormat="1" x14ac:dyDescent="0.3">
      <c r="B26" s="1" t="s">
        <v>18</v>
      </c>
      <c r="C26" s="5">
        <v>20000</v>
      </c>
      <c r="E26" s="8"/>
      <c r="F26" s="8"/>
      <c r="G26" s="16"/>
      <c r="H26" s="23"/>
      <c r="I26" s="1">
        <f>I25/30</f>
        <v>3.5555555555555558</v>
      </c>
      <c r="L26"/>
      <c r="N26"/>
      <c r="Q26"/>
    </row>
    <row r="27" spans="1:17" s="1" customFormat="1" x14ac:dyDescent="0.3">
      <c r="B27" s="1" t="s">
        <v>138</v>
      </c>
      <c r="C27" s="8"/>
      <c r="D27" s="8"/>
      <c r="E27" s="8"/>
      <c r="F27" s="8"/>
      <c r="G27" s="1">
        <f>47000-E27</f>
        <v>47000</v>
      </c>
      <c r="H27" s="23"/>
      <c r="L27"/>
      <c r="N27"/>
      <c r="Q27"/>
    </row>
    <row r="28" spans="1:17" s="1" customFormat="1" x14ac:dyDescent="0.3">
      <c r="B28" s="1" t="s">
        <v>156</v>
      </c>
      <c r="C28" s="46">
        <v>18000</v>
      </c>
      <c r="F28" s="8">
        <f>1450*5</f>
        <v>7250</v>
      </c>
      <c r="H28" s="23"/>
      <c r="L28"/>
      <c r="N28"/>
      <c r="Q28"/>
    </row>
    <row r="29" spans="1:17" s="1" customFormat="1" x14ac:dyDescent="0.3">
      <c r="B29" s="1" t="s">
        <v>155</v>
      </c>
      <c r="C29" s="50">
        <v>28739</v>
      </c>
      <c r="D29" s="8"/>
      <c r="E29" s="8"/>
      <c r="F29" s="8"/>
      <c r="H29" s="23"/>
      <c r="L29"/>
      <c r="N29"/>
      <c r="Q29"/>
    </row>
    <row r="30" spans="1:17" s="1" customFormat="1" x14ac:dyDescent="0.3">
      <c r="B30" s="1" t="s">
        <v>155</v>
      </c>
      <c r="C30" s="50">
        <f>16.9*1.16*500</f>
        <v>9801.9999999999982</v>
      </c>
      <c r="D30" s="8"/>
      <c r="E30" s="8"/>
      <c r="F30" s="8"/>
      <c r="H30" s="23"/>
      <c r="L30"/>
      <c r="N30"/>
      <c r="Q30"/>
    </row>
    <row r="31" spans="1:17" s="1" customFormat="1" x14ac:dyDescent="0.3">
      <c r="B31" s="1" t="s">
        <v>135</v>
      </c>
      <c r="C31" s="8"/>
      <c r="D31" s="8"/>
      <c r="E31" s="8"/>
      <c r="F31" s="8"/>
      <c r="H31" s="23"/>
      <c r="L31"/>
      <c r="N31"/>
      <c r="Q31"/>
    </row>
    <row r="32" spans="1:17" s="1" customFormat="1" x14ac:dyDescent="0.3">
      <c r="B32" s="1" t="s">
        <v>239</v>
      </c>
      <c r="C32" s="50">
        <v>2277.13</v>
      </c>
      <c r="D32" s="8"/>
      <c r="E32" s="8"/>
      <c r="F32" s="8"/>
      <c r="H32" s="23"/>
      <c r="L32"/>
      <c r="N32"/>
      <c r="Q32"/>
    </row>
    <row r="33" spans="1:17" s="1" customFormat="1" x14ac:dyDescent="0.3">
      <c r="B33" s="1" t="s">
        <v>240</v>
      </c>
      <c r="C33" s="50">
        <v>3888</v>
      </c>
      <c r="D33" s="8"/>
      <c r="E33" s="8"/>
      <c r="F33" s="8"/>
      <c r="H33" s="23"/>
      <c r="I33" s="1">
        <f>6*60*4</f>
        <v>1440</v>
      </c>
      <c r="L33"/>
      <c r="N33"/>
      <c r="Q33"/>
    </row>
    <row r="34" spans="1:17" x14ac:dyDescent="0.3">
      <c r="A34" s="1"/>
      <c r="B34" s="1" t="s">
        <v>36</v>
      </c>
      <c r="C34" s="5">
        <v>85800</v>
      </c>
      <c r="H34" s="23"/>
    </row>
    <row r="35" spans="1:17" x14ac:dyDescent="0.3">
      <c r="A35" s="1"/>
      <c r="B35" s="1" t="s">
        <v>36</v>
      </c>
      <c r="C35" s="50">
        <v>100000</v>
      </c>
      <c r="D35" s="8"/>
      <c r="E35" s="8"/>
      <c r="H35" s="23"/>
    </row>
    <row r="36" spans="1:17" x14ac:dyDescent="0.3">
      <c r="A36" s="1"/>
      <c r="B36" s="1" t="s">
        <v>234</v>
      </c>
      <c r="C36" s="50">
        <f>2329+1790+330+5499.9+688.35+737.5+1050</f>
        <v>12424.75</v>
      </c>
      <c r="D36" s="8"/>
      <c r="E36" s="8"/>
      <c r="H36" s="23"/>
    </row>
    <row r="37" spans="1:17" x14ac:dyDescent="0.3">
      <c r="A37" s="1"/>
      <c r="B37" s="1" t="s">
        <v>238</v>
      </c>
      <c r="C37" s="50">
        <v>18768</v>
      </c>
      <c r="D37" s="8"/>
      <c r="E37" s="8"/>
      <c r="H37" s="23"/>
    </row>
    <row r="38" spans="1:17" x14ac:dyDescent="0.3">
      <c r="A38" s="1"/>
      <c r="B38" s="1" t="s">
        <v>228</v>
      </c>
      <c r="D38" s="8"/>
      <c r="E38" s="8"/>
      <c r="H38" s="23"/>
    </row>
    <row r="39" spans="1:17" s="1" customFormat="1" x14ac:dyDescent="0.3">
      <c r="A39"/>
      <c r="B39"/>
      <c r="C39" s="15">
        <f>SUM(C2:C38)</f>
        <v>541297.31000000006</v>
      </c>
      <c r="D39" s="34">
        <f>SUM(D2:D38)</f>
        <v>40370</v>
      </c>
      <c r="E39" s="34">
        <f>SUM(E2:E38)</f>
        <v>15299.420000000002</v>
      </c>
      <c r="F39" s="23"/>
      <c r="G39" s="15">
        <f>SUM(G2:G34)</f>
        <v>134773.79999999999</v>
      </c>
      <c r="H39" s="23"/>
      <c r="L39"/>
      <c r="N39"/>
      <c r="Q39"/>
    </row>
    <row r="40" spans="1:17" s="1" customFormat="1" x14ac:dyDescent="0.3">
      <c r="A40"/>
      <c r="B40"/>
      <c r="C40" s="38"/>
      <c r="F40" s="45"/>
      <c r="H40" s="8"/>
      <c r="L40"/>
      <c r="N40"/>
      <c r="Q40"/>
    </row>
    <row r="41" spans="1:17" s="1" customFormat="1" x14ac:dyDescent="0.3">
      <c r="A41"/>
      <c r="B41"/>
      <c r="C41" s="38"/>
      <c r="F41" s="45"/>
      <c r="H41" s="8"/>
      <c r="L41"/>
      <c r="N41"/>
      <c r="Q41"/>
    </row>
    <row r="42" spans="1:17" s="1" customFormat="1" x14ac:dyDescent="0.3">
      <c r="A42"/>
      <c r="D42" s="1">
        <f>15*25</f>
        <v>375</v>
      </c>
      <c r="E42" s="1">
        <f>15*25</f>
        <v>375</v>
      </c>
      <c r="F42" s="45"/>
      <c r="H42" s="8"/>
      <c r="L42"/>
      <c r="N42"/>
    </row>
    <row r="43" spans="1:17" s="1" customFormat="1" x14ac:dyDescent="0.3">
      <c r="A43"/>
      <c r="C43" s="8"/>
      <c r="D43" s="1">
        <f>D42*3</f>
        <v>1125</v>
      </c>
      <c r="E43" s="1">
        <f>E42*3</f>
        <v>1125</v>
      </c>
      <c r="F43" s="45"/>
      <c r="H43" s="8"/>
      <c r="L43"/>
      <c r="N43"/>
      <c r="Q43"/>
    </row>
    <row r="44" spans="1:17" s="1" customFormat="1" x14ac:dyDescent="0.3">
      <c r="B44"/>
      <c r="C44" s="8"/>
      <c r="F44" s="45"/>
      <c r="H44" s="8"/>
      <c r="L44"/>
      <c r="N44"/>
    </row>
    <row r="45" spans="1:17" s="1" customFormat="1" x14ac:dyDescent="0.3">
      <c r="A45"/>
      <c r="B45"/>
      <c r="C45" s="38"/>
      <c r="F45" s="45"/>
      <c r="H45" s="8"/>
      <c r="N45"/>
    </row>
    <row r="46" spans="1:17" s="1" customFormat="1" x14ac:dyDescent="0.3">
      <c r="B46" s="49" t="s">
        <v>218</v>
      </c>
      <c r="C46" s="1" t="s">
        <v>219</v>
      </c>
      <c r="F46" s="45"/>
      <c r="H46" s="8"/>
      <c r="N46"/>
    </row>
    <row r="47" spans="1:17" x14ac:dyDescent="0.3">
      <c r="A47" s="1"/>
      <c r="B47" t="s">
        <v>220</v>
      </c>
      <c r="C47" s="1" t="s">
        <v>219</v>
      </c>
      <c r="J47" s="1">
        <v>96000</v>
      </c>
      <c r="L47" s="1"/>
    </row>
    <row r="48" spans="1:17" x14ac:dyDescent="0.3">
      <c r="A48" s="1"/>
      <c r="B48" t="s">
        <v>221</v>
      </c>
      <c r="C48" s="1" t="s">
        <v>219</v>
      </c>
      <c r="J48" s="1">
        <v>30000</v>
      </c>
      <c r="L48" s="1"/>
    </row>
    <row r="49" spans="2:12" x14ac:dyDescent="0.3">
      <c r="B49" t="s">
        <v>222</v>
      </c>
      <c r="C49" s="1" t="s">
        <v>219</v>
      </c>
      <c r="I49" s="1" t="s">
        <v>242</v>
      </c>
      <c r="J49" s="38">
        <f>-85800*1.04</f>
        <v>-89232</v>
      </c>
      <c r="K49" s="1">
        <v>80000</v>
      </c>
      <c r="L49" s="1">
        <f>K49*1.045</f>
        <v>83600</v>
      </c>
    </row>
    <row r="50" spans="2:12" x14ac:dyDescent="0.3">
      <c r="B50" t="s">
        <v>225</v>
      </c>
      <c r="C50" s="1" t="s">
        <v>223</v>
      </c>
      <c r="I50" s="1" t="s">
        <v>1</v>
      </c>
      <c r="J50" s="38">
        <v>-20000</v>
      </c>
      <c r="L50" s="1">
        <v>20000</v>
      </c>
    </row>
    <row r="51" spans="2:12" x14ac:dyDescent="0.3">
      <c r="B51" t="s">
        <v>224</v>
      </c>
      <c r="C51" s="1" t="s">
        <v>223</v>
      </c>
      <c r="I51" s="1" t="s">
        <v>243</v>
      </c>
      <c r="J51" s="38">
        <f>-16.9*1.16*500</f>
        <v>-9801.9999999999982</v>
      </c>
      <c r="L51" s="1">
        <v>10000</v>
      </c>
    </row>
    <row r="52" spans="2:12" x14ac:dyDescent="0.3">
      <c r="J52" s="38">
        <f>SUM(J47:J51)</f>
        <v>6966.0000000000018</v>
      </c>
      <c r="L52" s="1">
        <f>SUM(L49:L51)</f>
        <v>113600</v>
      </c>
    </row>
    <row r="53" spans="2:12" x14ac:dyDescent="0.3">
      <c r="L53" s="1">
        <f>J47+J48-L52</f>
        <v>12400</v>
      </c>
    </row>
    <row r="54" spans="2:12" x14ac:dyDescent="0.3">
      <c r="L54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A7E6-8589-4264-A999-7CEB88E921FD}">
  <dimension ref="A1:P46"/>
  <sheetViews>
    <sheetView workbookViewId="0">
      <selection activeCell="I8" sqref="I8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4" x14ac:dyDescent="0.3">
      <c r="B1" s="2" t="s">
        <v>213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105000</v>
      </c>
      <c r="D2" s="8"/>
      <c r="H2" s="1" t="s">
        <v>169</v>
      </c>
      <c r="J2" s="1">
        <v>33079</v>
      </c>
      <c r="M2" s="2" t="s">
        <v>194</v>
      </c>
    </row>
    <row r="3" spans="2:14" x14ac:dyDescent="0.3">
      <c r="B3" t="s">
        <v>193</v>
      </c>
      <c r="C3" s="46"/>
      <c r="D3" s="8"/>
      <c r="H3" s="1" t="s">
        <v>178</v>
      </c>
      <c r="I3" s="1">
        <v>126412</v>
      </c>
      <c r="L3"/>
    </row>
    <row r="4" spans="2:14" x14ac:dyDescent="0.3">
      <c r="B4" t="s">
        <v>45</v>
      </c>
      <c r="C4" s="46">
        <f>I19</f>
        <v>20000</v>
      </c>
      <c r="D4" s="8"/>
      <c r="H4" s="1" t="s">
        <v>184</v>
      </c>
      <c r="L4"/>
      <c r="M4" t="s">
        <v>195</v>
      </c>
      <c r="N4" s="1">
        <v>5000</v>
      </c>
    </row>
    <row r="5" spans="2:14" x14ac:dyDescent="0.3">
      <c r="B5" t="s">
        <v>16</v>
      </c>
      <c r="D5" s="5">
        <v>70000</v>
      </c>
      <c r="H5" s="1" t="s">
        <v>214</v>
      </c>
      <c r="I5" s="1">
        <f>'06 11 Abril'!I7</f>
        <v>67394.080000000016</v>
      </c>
      <c r="L5"/>
      <c r="M5" t="s">
        <v>196</v>
      </c>
      <c r="N5" s="1">
        <v>8120</v>
      </c>
    </row>
    <row r="6" spans="2:14" x14ac:dyDescent="0.3">
      <c r="B6" t="s">
        <v>16</v>
      </c>
      <c r="C6" s="8"/>
      <c r="D6" s="8"/>
      <c r="H6" s="1" t="s">
        <v>236</v>
      </c>
      <c r="I6" s="1">
        <v>130000</v>
      </c>
      <c r="L6"/>
      <c r="M6" t="s">
        <v>197</v>
      </c>
      <c r="N6" s="1">
        <v>1000</v>
      </c>
    </row>
    <row r="7" spans="2:14" x14ac:dyDescent="0.3">
      <c r="B7" t="s">
        <v>186</v>
      </c>
      <c r="C7" s="8"/>
      <c r="D7" s="8"/>
      <c r="I7" s="15">
        <f>SUM(I2:I6)</f>
        <v>323806.08000000002</v>
      </c>
      <c r="L7"/>
      <c r="M7" t="s">
        <v>198</v>
      </c>
      <c r="N7" s="1">
        <v>500</v>
      </c>
    </row>
    <row r="8" spans="2:14" x14ac:dyDescent="0.3">
      <c r="B8" s="33" t="s">
        <v>31</v>
      </c>
      <c r="C8" s="46">
        <v>10000</v>
      </c>
      <c r="H8" s="1" t="s">
        <v>90</v>
      </c>
      <c r="I8" s="35">
        <f>I7-C34</f>
        <v>112956.95000000001</v>
      </c>
      <c r="L8" s="48">
        <v>46099</v>
      </c>
      <c r="M8" t="s">
        <v>198</v>
      </c>
      <c r="N8" s="1">
        <v>1000</v>
      </c>
    </row>
    <row r="9" spans="2:14" x14ac:dyDescent="0.3">
      <c r="B9" t="s">
        <v>8</v>
      </c>
      <c r="C9" s="8"/>
      <c r="D9" s="5">
        <v>2784</v>
      </c>
      <c r="F9" s="8"/>
      <c r="L9" s="48">
        <v>46100</v>
      </c>
      <c r="M9" t="s">
        <v>202</v>
      </c>
      <c r="N9" s="1">
        <v>1500</v>
      </c>
    </row>
    <row r="10" spans="2:14" x14ac:dyDescent="0.3">
      <c r="B10" t="s">
        <v>32</v>
      </c>
      <c r="C10" s="8"/>
      <c r="D10" s="8"/>
      <c r="H10" t="s">
        <v>189</v>
      </c>
      <c r="L10" s="48">
        <v>46100</v>
      </c>
      <c r="M10" t="s">
        <v>202</v>
      </c>
      <c r="N10" s="1">
        <v>1000</v>
      </c>
    </row>
    <row r="11" spans="2:14" x14ac:dyDescent="0.3">
      <c r="B11" t="s">
        <v>95</v>
      </c>
      <c r="C11" s="8"/>
      <c r="D11" s="8">
        <v>6970</v>
      </c>
      <c r="F11" s="8">
        <v>8526</v>
      </c>
      <c r="H11" t="s">
        <v>64</v>
      </c>
      <c r="I11" s="1">
        <v>4000</v>
      </c>
      <c r="L11" s="48">
        <v>46101</v>
      </c>
      <c r="M11" t="s">
        <v>203</v>
      </c>
      <c r="N11" s="1">
        <v>1000</v>
      </c>
    </row>
    <row r="12" spans="2:14" x14ac:dyDescent="0.3">
      <c r="B12" t="s">
        <v>212</v>
      </c>
      <c r="D12" s="5">
        <v>3795.01</v>
      </c>
      <c r="H12" t="s">
        <v>66</v>
      </c>
      <c r="I12" s="1">
        <v>3000</v>
      </c>
      <c r="N12" s="3">
        <f>SUM(N4:N11)</f>
        <v>19120</v>
      </c>
    </row>
    <row r="13" spans="2:14" x14ac:dyDescent="0.3">
      <c r="B13" t="s">
        <v>48</v>
      </c>
      <c r="C13" s="8"/>
      <c r="D13" s="8"/>
      <c r="H13" t="s">
        <v>211</v>
      </c>
      <c r="I13" s="1">
        <v>5800</v>
      </c>
    </row>
    <row r="14" spans="2:14" x14ac:dyDescent="0.3">
      <c r="B14" t="s">
        <v>50</v>
      </c>
      <c r="C14" s="8"/>
      <c r="D14" s="8"/>
      <c r="F14" s="29">
        <v>49247.8</v>
      </c>
      <c r="H14" t="s">
        <v>67</v>
      </c>
      <c r="I14" s="1">
        <v>1950</v>
      </c>
    </row>
    <row r="15" spans="2:14" x14ac:dyDescent="0.3">
      <c r="B15" t="s">
        <v>226</v>
      </c>
      <c r="C15" s="8"/>
      <c r="D15" s="5">
        <v>15000</v>
      </c>
      <c r="F15" s="29"/>
      <c r="H15" t="s">
        <v>22</v>
      </c>
      <c r="I15" s="1">
        <v>3000</v>
      </c>
    </row>
    <row r="16" spans="2:14" x14ac:dyDescent="0.3">
      <c r="B16" t="s">
        <v>128</v>
      </c>
      <c r="C16" s="8"/>
      <c r="D16" s="5">
        <v>1186.3599999999999</v>
      </c>
      <c r="H16" s="1" t="s">
        <v>215</v>
      </c>
      <c r="I16" s="1">
        <v>500</v>
      </c>
    </row>
    <row r="17" spans="1:16" x14ac:dyDescent="0.3">
      <c r="B17" t="s">
        <v>216</v>
      </c>
      <c r="C17" s="8"/>
      <c r="D17" s="5">
        <v>32480</v>
      </c>
      <c r="H17" t="s">
        <v>135</v>
      </c>
      <c r="I17" s="1">
        <v>2750</v>
      </c>
      <c r="J17" s="1">
        <v>18250</v>
      </c>
    </row>
    <row r="18" spans="1:16" x14ac:dyDescent="0.3">
      <c r="B18" t="s">
        <v>105</v>
      </c>
      <c r="C18" s="46">
        <f>(C2+C3+C4+D2+D3+D4)*0.042</f>
        <v>5250</v>
      </c>
      <c r="D18" s="8"/>
      <c r="H18"/>
      <c r="I18" s="38">
        <v>-1000</v>
      </c>
      <c r="J18" s="1">
        <f>J17-20000</f>
        <v>-1750</v>
      </c>
    </row>
    <row r="19" spans="1:16" x14ac:dyDescent="0.3">
      <c r="A19" s="1"/>
      <c r="B19" t="s">
        <v>170</v>
      </c>
      <c r="C19" s="8"/>
      <c r="D19" s="5">
        <v>3970.21</v>
      </c>
      <c r="F19" s="8"/>
      <c r="I19" s="3">
        <f>SUM(I10:I18)</f>
        <v>20000</v>
      </c>
    </row>
    <row r="20" spans="1:16" s="1" customFormat="1" x14ac:dyDescent="0.3">
      <c r="B20" s="1" t="s">
        <v>192</v>
      </c>
      <c r="C20" s="8"/>
      <c r="D20" s="5">
        <v>15370</v>
      </c>
      <c r="E20" s="8"/>
      <c r="G20" s="8"/>
      <c r="H20"/>
      <c r="K20"/>
      <c r="L20" s="1">
        <f>17+5+13</f>
        <v>35</v>
      </c>
      <c r="M20"/>
      <c r="P20"/>
    </row>
    <row r="21" spans="1:16" s="1" customFormat="1" x14ac:dyDescent="0.3">
      <c r="B21" s="1" t="s">
        <v>192</v>
      </c>
      <c r="C21" s="8"/>
      <c r="D21" s="5">
        <v>15370</v>
      </c>
      <c r="E21" s="8"/>
      <c r="G21" s="8"/>
      <c r="H21"/>
      <c r="I21" s="1">
        <f>I19+4000</f>
        <v>24000</v>
      </c>
      <c r="K21"/>
      <c r="L21" s="1">
        <v>57</v>
      </c>
      <c r="M21"/>
      <c r="P21"/>
    </row>
    <row r="22" spans="1:16" s="1" customFormat="1" x14ac:dyDescent="0.3">
      <c r="B22" s="1" t="s">
        <v>235</v>
      </c>
      <c r="C22" s="46">
        <v>30000</v>
      </c>
      <c r="D22" s="5">
        <f>57002.4+4640</f>
        <v>61642.400000000001</v>
      </c>
      <c r="E22" s="8"/>
      <c r="G22" s="8"/>
      <c r="H22"/>
      <c r="K22"/>
      <c r="L22" s="1">
        <f>SUM(L20:L21)</f>
        <v>92</v>
      </c>
      <c r="M22"/>
      <c r="P22"/>
    </row>
    <row r="23" spans="1:16" s="1" customFormat="1" x14ac:dyDescent="0.3">
      <c r="B23" s="1" t="s">
        <v>109</v>
      </c>
      <c r="C23" s="8"/>
      <c r="D23" s="8"/>
      <c r="E23" s="8"/>
      <c r="G23" s="8"/>
      <c r="H23"/>
      <c r="K23"/>
      <c r="M23"/>
      <c r="P23"/>
    </row>
    <row r="24" spans="1:16" s="1" customFormat="1" x14ac:dyDescent="0.3">
      <c r="B24" s="8" t="s">
        <v>126</v>
      </c>
      <c r="C24" s="8"/>
      <c r="D24" s="5">
        <v>4750.2</v>
      </c>
      <c r="E24" s="8"/>
      <c r="G24" s="8"/>
      <c r="H24"/>
      <c r="K24"/>
      <c r="M24"/>
      <c r="P24"/>
    </row>
    <row r="25" spans="1:16" s="1" customFormat="1" x14ac:dyDescent="0.3">
      <c r="B25" s="1" t="s">
        <v>217</v>
      </c>
      <c r="C25" s="8">
        <v>9676.4500000000007</v>
      </c>
      <c r="D25" s="8"/>
      <c r="E25" s="8"/>
      <c r="F25" s="16">
        <v>30000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18</v>
      </c>
      <c r="C26" s="8">
        <v>12652.68</v>
      </c>
      <c r="D26" s="8"/>
      <c r="E26" s="8"/>
      <c r="F26" s="16"/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138</v>
      </c>
      <c r="C27" s="8"/>
      <c r="D27" s="8"/>
      <c r="E27" s="8"/>
      <c r="F27" s="1">
        <f>47000-D27</f>
        <v>47000</v>
      </c>
      <c r="G27" s="23"/>
      <c r="K27"/>
      <c r="M27"/>
      <c r="P27"/>
    </row>
    <row r="28" spans="1:16" s="1" customFormat="1" x14ac:dyDescent="0.3">
      <c r="B28" s="1" t="s">
        <v>156</v>
      </c>
      <c r="C28" s="8"/>
      <c r="D28" s="8">
        <f>1450*5</f>
        <v>7250</v>
      </c>
      <c r="E28" s="8"/>
      <c r="G28" s="23"/>
      <c r="K28"/>
      <c r="M28"/>
      <c r="P28"/>
    </row>
    <row r="29" spans="1:16" s="1" customFormat="1" x14ac:dyDescent="0.3">
      <c r="B29" s="1" t="s">
        <v>155</v>
      </c>
      <c r="C29" s="46">
        <f>15.75*1.16*1000</f>
        <v>18270</v>
      </c>
      <c r="D29" s="8">
        <v>9135</v>
      </c>
      <c r="E29" s="8"/>
      <c r="G29" s="23"/>
      <c r="K29"/>
      <c r="M29"/>
      <c r="P29"/>
    </row>
    <row r="30" spans="1:16" s="1" customFormat="1" x14ac:dyDescent="0.3">
      <c r="B30" s="1" t="s">
        <v>135</v>
      </c>
      <c r="C30" s="8"/>
      <c r="D30" s="8"/>
      <c r="E30" s="8"/>
      <c r="G30" s="23"/>
      <c r="K30"/>
      <c r="M30"/>
      <c r="P30"/>
    </row>
    <row r="31" spans="1:16" x14ac:dyDescent="0.3">
      <c r="A31" s="1"/>
      <c r="B31" s="1" t="s">
        <v>206</v>
      </c>
      <c r="D31" s="8"/>
      <c r="G31" s="23"/>
    </row>
    <row r="32" spans="1:16" x14ac:dyDescent="0.3">
      <c r="A32" s="1"/>
      <c r="B32" s="1" t="s">
        <v>228</v>
      </c>
      <c r="D32" s="8"/>
      <c r="G32" s="23"/>
    </row>
    <row r="33" spans="1:16" x14ac:dyDescent="0.3">
      <c r="A33" s="1"/>
      <c r="B33" s="1" t="s">
        <v>227</v>
      </c>
      <c r="C33" s="8"/>
      <c r="D33" s="5">
        <v>32000</v>
      </c>
      <c r="G33" s="23"/>
    </row>
    <row r="34" spans="1:16" s="1" customFormat="1" x14ac:dyDescent="0.3">
      <c r="A34"/>
      <c r="B34"/>
      <c r="C34" s="15">
        <f>SUM(C2:C33)</f>
        <v>210849.13</v>
      </c>
      <c r="D34" s="34">
        <f>SUM(D2:D33)</f>
        <v>281703.18</v>
      </c>
      <c r="E34" s="23"/>
      <c r="F34" s="15">
        <f>SUM(F2:F31)</f>
        <v>134773.79999999999</v>
      </c>
      <c r="G34" s="23"/>
      <c r="K34"/>
      <c r="M34"/>
      <c r="P34"/>
    </row>
    <row r="35" spans="1:16" s="1" customFormat="1" x14ac:dyDescent="0.3">
      <c r="A35"/>
      <c r="B35"/>
      <c r="C35" s="38"/>
      <c r="E35" s="45"/>
      <c r="G35" s="8"/>
      <c r="K35"/>
      <c r="M35"/>
      <c r="P35"/>
    </row>
    <row r="36" spans="1:16" s="1" customFormat="1" x14ac:dyDescent="0.3">
      <c r="A36"/>
      <c r="B36"/>
      <c r="C36" s="38"/>
      <c r="E36" s="45"/>
      <c r="G36" s="8"/>
      <c r="K36"/>
      <c r="M36"/>
      <c r="P36"/>
    </row>
    <row r="37" spans="1:16" s="1" customFormat="1" x14ac:dyDescent="0.3">
      <c r="A37"/>
      <c r="D37" s="1">
        <f>15*25</f>
        <v>375</v>
      </c>
      <c r="E37" s="45"/>
      <c r="G37" s="8"/>
      <c r="K37"/>
      <c r="M37"/>
    </row>
    <row r="38" spans="1:16" s="1" customFormat="1" x14ac:dyDescent="0.3">
      <c r="A38"/>
      <c r="C38" s="8"/>
      <c r="D38" s="1">
        <f>D37*3</f>
        <v>1125</v>
      </c>
      <c r="E38" s="45"/>
      <c r="G38" s="8"/>
      <c r="K38"/>
      <c r="M38"/>
      <c r="P38"/>
    </row>
    <row r="39" spans="1:16" s="1" customFormat="1" x14ac:dyDescent="0.3">
      <c r="B39"/>
      <c r="C39" s="8"/>
      <c r="E39" s="45"/>
      <c r="G39" s="8"/>
      <c r="K39"/>
      <c r="M39"/>
    </row>
    <row r="40" spans="1:16" s="1" customFormat="1" x14ac:dyDescent="0.3">
      <c r="A40"/>
      <c r="B40"/>
      <c r="C40" s="38"/>
      <c r="E40" s="45"/>
      <c r="G40" s="8"/>
      <c r="K40"/>
      <c r="M40"/>
    </row>
    <row r="41" spans="1:16" s="1" customFormat="1" x14ac:dyDescent="0.3">
      <c r="B41" s="49" t="s">
        <v>218</v>
      </c>
      <c r="C41" s="1" t="s">
        <v>219</v>
      </c>
      <c r="E41" s="45"/>
      <c r="G41" s="8"/>
      <c r="K41"/>
      <c r="M41"/>
    </row>
    <row r="42" spans="1:16" x14ac:dyDescent="0.3">
      <c r="A42" s="1"/>
      <c r="B42" t="s">
        <v>220</v>
      </c>
      <c r="C42" s="1" t="s">
        <v>219</v>
      </c>
    </row>
    <row r="43" spans="1:16" x14ac:dyDescent="0.3">
      <c r="A43" s="1"/>
      <c r="B43" t="s">
        <v>221</v>
      </c>
      <c r="C43" s="1" t="s">
        <v>219</v>
      </c>
    </row>
    <row r="44" spans="1:16" x14ac:dyDescent="0.3">
      <c r="B44" t="s">
        <v>222</v>
      </c>
      <c r="C44" s="1" t="s">
        <v>219</v>
      </c>
    </row>
    <row r="45" spans="1:16" x14ac:dyDescent="0.3">
      <c r="B45" t="s">
        <v>225</v>
      </c>
      <c r="C45" s="1" t="s">
        <v>223</v>
      </c>
    </row>
    <row r="46" spans="1:16" x14ac:dyDescent="0.3">
      <c r="B46" t="s">
        <v>224</v>
      </c>
      <c r="C46" s="1" t="s">
        <v>223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CC60-0FCD-4200-A148-2D052B622E06}">
  <dimension ref="A1:P40"/>
  <sheetViews>
    <sheetView topLeftCell="A7" workbookViewId="0">
      <selection activeCell="F30" sqref="F30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4" x14ac:dyDescent="0.3">
      <c r="B1" s="2" t="s">
        <v>210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78000</v>
      </c>
      <c r="D2" s="8"/>
      <c r="H2" s="1" t="s">
        <v>169</v>
      </c>
      <c r="I2" s="1">
        <f>199760</f>
        <v>199760</v>
      </c>
      <c r="J2" s="1">
        <v>33079</v>
      </c>
      <c r="M2" s="2" t="s">
        <v>194</v>
      </c>
    </row>
    <row r="3" spans="2:14" x14ac:dyDescent="0.3">
      <c r="B3" t="s">
        <v>193</v>
      </c>
      <c r="C3" s="46">
        <v>12000</v>
      </c>
      <c r="D3" s="8"/>
      <c r="H3" s="1" t="s">
        <v>178</v>
      </c>
      <c r="L3"/>
    </row>
    <row r="4" spans="2:14" x14ac:dyDescent="0.3">
      <c r="B4" t="s">
        <v>45</v>
      </c>
      <c r="C4" s="46">
        <f>I18</f>
        <v>21950</v>
      </c>
      <c r="D4" s="8"/>
      <c r="H4" s="1" t="s">
        <v>184</v>
      </c>
      <c r="L4"/>
      <c r="M4" t="s">
        <v>195</v>
      </c>
      <c r="N4" s="1">
        <v>5000</v>
      </c>
    </row>
    <row r="5" spans="2:14" x14ac:dyDescent="0.3">
      <c r="B5" t="s">
        <v>16</v>
      </c>
      <c r="D5" s="8"/>
      <c r="L5"/>
      <c r="M5" t="s">
        <v>196</v>
      </c>
      <c r="N5" s="1">
        <v>8120</v>
      </c>
    </row>
    <row r="6" spans="2:14" x14ac:dyDescent="0.3">
      <c r="B6" t="s">
        <v>16</v>
      </c>
      <c r="C6" s="8"/>
      <c r="D6" s="8"/>
      <c r="I6" s="15">
        <f>SUM(I2:I5)</f>
        <v>199760</v>
      </c>
      <c r="L6"/>
      <c r="M6" t="s">
        <v>197</v>
      </c>
      <c r="N6" s="1">
        <v>1000</v>
      </c>
    </row>
    <row r="7" spans="2:14" x14ac:dyDescent="0.3">
      <c r="B7" t="s">
        <v>186</v>
      </c>
      <c r="C7" s="8"/>
      <c r="D7" s="8"/>
      <c r="H7" s="1" t="s">
        <v>90</v>
      </c>
      <c r="I7" s="35">
        <f>I6-C30</f>
        <v>67394.080000000016</v>
      </c>
      <c r="L7"/>
      <c r="M7" t="s">
        <v>198</v>
      </c>
      <c r="N7" s="1">
        <v>500</v>
      </c>
    </row>
    <row r="8" spans="2:14" x14ac:dyDescent="0.3">
      <c r="B8" s="33" t="s">
        <v>31</v>
      </c>
      <c r="D8" s="8">
        <v>10000</v>
      </c>
      <c r="L8" s="48">
        <v>46099</v>
      </c>
      <c r="M8" t="s">
        <v>198</v>
      </c>
      <c r="N8" s="1">
        <v>1000</v>
      </c>
    </row>
    <row r="9" spans="2:14" x14ac:dyDescent="0.3">
      <c r="B9" t="s">
        <v>8</v>
      </c>
      <c r="C9" s="46">
        <v>2784</v>
      </c>
      <c r="D9" s="8"/>
      <c r="F9" s="8"/>
      <c r="L9" s="48">
        <v>46100</v>
      </c>
      <c r="M9" t="s">
        <v>202</v>
      </c>
      <c r="N9" s="1">
        <v>1500</v>
      </c>
    </row>
    <row r="10" spans="2:14" x14ac:dyDescent="0.3">
      <c r="B10" t="s">
        <v>32</v>
      </c>
      <c r="C10" s="8"/>
      <c r="D10" s="8"/>
      <c r="H10" t="s">
        <v>189</v>
      </c>
      <c r="L10" s="48">
        <v>46100</v>
      </c>
      <c r="M10" t="s">
        <v>202</v>
      </c>
      <c r="N10" s="1">
        <v>1000</v>
      </c>
    </row>
    <row r="11" spans="2:14" x14ac:dyDescent="0.3">
      <c r="B11" t="s">
        <v>95</v>
      </c>
      <c r="C11" s="8"/>
      <c r="D11" s="8"/>
      <c r="F11" s="8">
        <v>8526</v>
      </c>
      <c r="H11" t="s">
        <v>64</v>
      </c>
      <c r="I11" s="1">
        <v>4000</v>
      </c>
      <c r="L11" s="48">
        <v>46101</v>
      </c>
      <c r="M11" t="s">
        <v>203</v>
      </c>
      <c r="N11" s="1">
        <v>1000</v>
      </c>
    </row>
    <row r="12" spans="2:14" x14ac:dyDescent="0.3">
      <c r="B12" t="s">
        <v>212</v>
      </c>
      <c r="C12" s="46">
        <v>3795.02</v>
      </c>
      <c r="D12" s="8"/>
      <c r="H12" t="s">
        <v>66</v>
      </c>
      <c r="I12" s="1">
        <v>3000</v>
      </c>
      <c r="N12" s="3">
        <f>SUM(N4:N11)</f>
        <v>19120</v>
      </c>
    </row>
    <row r="13" spans="2:14" x14ac:dyDescent="0.3">
      <c r="B13" t="s">
        <v>48</v>
      </c>
      <c r="C13" s="8"/>
      <c r="D13" s="8"/>
      <c r="H13" t="s">
        <v>211</v>
      </c>
      <c r="I13" s="1">
        <v>6000</v>
      </c>
    </row>
    <row r="14" spans="2:14" x14ac:dyDescent="0.3">
      <c r="B14" t="s">
        <v>50</v>
      </c>
      <c r="C14" s="8"/>
      <c r="D14" s="8"/>
      <c r="F14" s="29">
        <v>49247.8</v>
      </c>
      <c r="H14" t="s">
        <v>67</v>
      </c>
      <c r="I14" s="1">
        <v>1950</v>
      </c>
    </row>
    <row r="15" spans="2:14" x14ac:dyDescent="0.3">
      <c r="B15" t="s">
        <v>49</v>
      </c>
      <c r="C15" s="8"/>
      <c r="D15" s="8"/>
      <c r="H15" t="s">
        <v>22</v>
      </c>
      <c r="I15" s="1">
        <v>3500</v>
      </c>
    </row>
    <row r="16" spans="2:14" x14ac:dyDescent="0.3">
      <c r="B16" t="s">
        <v>54</v>
      </c>
      <c r="C16" s="8"/>
      <c r="D16" s="8"/>
      <c r="H16" t="s">
        <v>135</v>
      </c>
      <c r="I16" s="1">
        <v>3500</v>
      </c>
    </row>
    <row r="17" spans="1:16" x14ac:dyDescent="0.3">
      <c r="B17" t="s">
        <v>105</v>
      </c>
      <c r="C17" s="46">
        <f>(C2+C3+C4+D2+D3+D4)*0.042</f>
        <v>4701.9000000000005</v>
      </c>
      <c r="D17" s="8"/>
      <c r="H17"/>
    </row>
    <row r="18" spans="1:16" x14ac:dyDescent="0.3">
      <c r="A18" s="1"/>
      <c r="B18" t="s">
        <v>170</v>
      </c>
      <c r="C18" s="8"/>
      <c r="D18" s="8"/>
      <c r="F18" s="8"/>
      <c r="I18" s="3">
        <f>SUM(I10:I17)</f>
        <v>21950</v>
      </c>
    </row>
    <row r="19" spans="1:16" x14ac:dyDescent="0.3">
      <c r="A19" s="1"/>
      <c r="B19" s="1" t="s">
        <v>192</v>
      </c>
      <c r="C19" s="8"/>
      <c r="D19" s="8"/>
      <c r="H19"/>
    </row>
    <row r="20" spans="1:16" s="1" customFormat="1" x14ac:dyDescent="0.3">
      <c r="B20" s="1" t="s">
        <v>165</v>
      </c>
      <c r="C20" s="8"/>
      <c r="D20" s="8">
        <f>57002.4+4640</f>
        <v>61642.400000000001</v>
      </c>
      <c r="E20" s="8"/>
      <c r="G20" s="8"/>
      <c r="H20"/>
      <c r="K20"/>
      <c r="L20" s="1">
        <f>17+5+13</f>
        <v>35</v>
      </c>
      <c r="M20"/>
      <c r="P20"/>
    </row>
    <row r="21" spans="1:16" s="1" customFormat="1" x14ac:dyDescent="0.3">
      <c r="B21" s="1" t="s">
        <v>109</v>
      </c>
      <c r="C21" s="8"/>
      <c r="D21" s="8"/>
      <c r="E21" s="8"/>
      <c r="G21" s="8"/>
      <c r="H21"/>
      <c r="K21"/>
      <c r="L21" s="1">
        <v>57</v>
      </c>
      <c r="M21"/>
      <c r="P21"/>
    </row>
    <row r="22" spans="1:16" s="1" customFormat="1" x14ac:dyDescent="0.3">
      <c r="B22" s="8" t="s">
        <v>126</v>
      </c>
      <c r="C22" s="8"/>
      <c r="D22" s="8"/>
      <c r="E22" s="8"/>
      <c r="G22" s="8"/>
      <c r="H22"/>
      <c r="K22"/>
      <c r="L22" s="1">
        <f>SUM(L20:L21)</f>
        <v>92</v>
      </c>
      <c r="M22"/>
      <c r="P22"/>
    </row>
    <row r="23" spans="1:16" s="1" customFormat="1" x14ac:dyDescent="0.3">
      <c r="B23" s="1" t="s">
        <v>1</v>
      </c>
      <c r="C23" s="8"/>
      <c r="D23" s="8">
        <v>25000</v>
      </c>
      <c r="E23" s="8"/>
      <c r="G23" s="23"/>
      <c r="H23"/>
      <c r="K23"/>
      <c r="M23"/>
      <c r="P23"/>
    </row>
    <row r="24" spans="1:16" s="1" customFormat="1" x14ac:dyDescent="0.3">
      <c r="B24" s="1" t="s">
        <v>138</v>
      </c>
      <c r="C24" s="8"/>
      <c r="D24" s="8"/>
      <c r="E24" s="8"/>
      <c r="G24" s="23"/>
      <c r="H24"/>
      <c r="K24"/>
      <c r="M24"/>
      <c r="P24"/>
    </row>
    <row r="25" spans="1:16" s="1" customFormat="1" x14ac:dyDescent="0.3">
      <c r="B25" s="1" t="s">
        <v>156</v>
      </c>
      <c r="C25" s="8"/>
      <c r="D25" s="8">
        <f>1450*5</f>
        <v>7250</v>
      </c>
      <c r="E25" s="8"/>
      <c r="F25" s="16">
        <v>30000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155</v>
      </c>
      <c r="C26" s="46">
        <v>9135</v>
      </c>
      <c r="D26" s="8"/>
      <c r="E26" s="8"/>
      <c r="F26" s="1">
        <f>47000-D24</f>
        <v>47000</v>
      </c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135</v>
      </c>
      <c r="C27" s="8"/>
      <c r="D27" s="8"/>
      <c r="E27" s="8"/>
      <c r="G27" s="23"/>
      <c r="K27"/>
      <c r="M27"/>
      <c r="P27"/>
    </row>
    <row r="28" spans="1:16" s="1" customFormat="1" x14ac:dyDescent="0.3">
      <c r="B28" s="1" t="s">
        <v>206</v>
      </c>
      <c r="D28" s="46">
        <v>50000</v>
      </c>
      <c r="E28" s="8"/>
      <c r="G28" s="23"/>
      <c r="K28"/>
      <c r="M28"/>
      <c r="P28"/>
    </row>
    <row r="29" spans="1:16" s="1" customFormat="1" x14ac:dyDescent="0.3">
      <c r="C29" s="8"/>
      <c r="D29" s="8"/>
      <c r="E29" s="8"/>
      <c r="G29" s="23"/>
      <c r="K29"/>
      <c r="M29"/>
      <c r="P29"/>
    </row>
    <row r="30" spans="1:16" s="1" customFormat="1" x14ac:dyDescent="0.3">
      <c r="A30"/>
      <c r="B30"/>
      <c r="C30" s="15">
        <f>SUM(C2:C29)</f>
        <v>132365.91999999998</v>
      </c>
      <c r="D30" s="34">
        <f>SUM(D2:D29)</f>
        <v>153892.4</v>
      </c>
      <c r="E30" s="23"/>
      <c r="F30" s="15">
        <f>SUM(F2:F28)</f>
        <v>134773.79999999999</v>
      </c>
      <c r="G30" s="23"/>
      <c r="K30"/>
      <c r="M30"/>
      <c r="P30"/>
    </row>
    <row r="31" spans="1:16" x14ac:dyDescent="0.3">
      <c r="C31" s="38"/>
      <c r="E31" s="45"/>
    </row>
    <row r="32" spans="1:16" x14ac:dyDescent="0.3">
      <c r="C32" s="38"/>
      <c r="E32" s="45"/>
    </row>
    <row r="33" spans="1:16" s="1" customFormat="1" x14ac:dyDescent="0.3">
      <c r="A33"/>
      <c r="E33" s="45"/>
      <c r="G33" s="8"/>
      <c r="K33"/>
      <c r="M33"/>
      <c r="P33"/>
    </row>
    <row r="34" spans="1:16" s="1" customFormat="1" x14ac:dyDescent="0.3">
      <c r="A34"/>
      <c r="C34" s="8"/>
      <c r="E34" s="45"/>
      <c r="G34" s="8"/>
      <c r="K34"/>
      <c r="M34"/>
      <c r="P34"/>
    </row>
    <row r="35" spans="1:16" s="1" customFormat="1" x14ac:dyDescent="0.3">
      <c r="B35"/>
      <c r="C35" s="8"/>
      <c r="E35" s="45"/>
      <c r="G35" s="8"/>
      <c r="K35"/>
      <c r="M35"/>
      <c r="P35"/>
    </row>
    <row r="36" spans="1:16" s="1" customFormat="1" x14ac:dyDescent="0.3">
      <c r="A36"/>
      <c r="B36"/>
      <c r="C36" s="38"/>
      <c r="E36" s="45"/>
      <c r="G36" s="8"/>
      <c r="K36"/>
      <c r="M36"/>
    </row>
    <row r="37" spans="1:16" s="1" customFormat="1" x14ac:dyDescent="0.3">
      <c r="B37"/>
      <c r="C37" s="38"/>
      <c r="E37" s="45"/>
      <c r="G37" s="8"/>
      <c r="K37"/>
      <c r="M37"/>
      <c r="P37"/>
    </row>
    <row r="38" spans="1:16" s="1" customFormat="1" x14ac:dyDescent="0.3">
      <c r="B38"/>
      <c r="E38" s="8"/>
      <c r="G38" s="8"/>
      <c r="K38"/>
      <c r="M38"/>
    </row>
    <row r="39" spans="1:16" s="1" customFormat="1" x14ac:dyDescent="0.3">
      <c r="B39"/>
      <c r="E39" s="8"/>
      <c r="G39" s="8"/>
      <c r="K39"/>
      <c r="M39"/>
    </row>
    <row r="40" spans="1:16" s="1" customFormat="1" x14ac:dyDescent="0.3">
      <c r="A40"/>
      <c r="B40"/>
      <c r="E40" s="8"/>
      <c r="G40" s="8"/>
      <c r="K40"/>
      <c r="M40"/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6D21-B832-464C-A03D-32CE1C98D022}">
  <dimension ref="A1:P41"/>
  <sheetViews>
    <sheetView workbookViewId="0">
      <selection activeCell="F31" sqref="F31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4" x14ac:dyDescent="0.3">
      <c r="B1" s="2" t="s">
        <v>209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105000</v>
      </c>
      <c r="D2" s="8"/>
      <c r="H2" s="1" t="s">
        <v>169</v>
      </c>
      <c r="I2" s="1">
        <f>199760/2</f>
        <v>99880</v>
      </c>
      <c r="J2" s="1">
        <v>33079</v>
      </c>
      <c r="M2" s="2" t="s">
        <v>194</v>
      </c>
    </row>
    <row r="3" spans="2:14" x14ac:dyDescent="0.3">
      <c r="B3" t="s">
        <v>193</v>
      </c>
      <c r="C3" s="46"/>
      <c r="D3" s="8"/>
      <c r="H3" s="1" t="s">
        <v>178</v>
      </c>
      <c r="L3"/>
    </row>
    <row r="4" spans="2:14" x14ac:dyDescent="0.3">
      <c r="B4" t="s">
        <v>45</v>
      </c>
      <c r="C4" s="46">
        <f>I18</f>
        <v>17950</v>
      </c>
      <c r="D4" s="8"/>
      <c r="H4" s="1" t="s">
        <v>184</v>
      </c>
      <c r="I4" s="1">
        <v>33000</v>
      </c>
      <c r="L4"/>
      <c r="M4" t="s">
        <v>195</v>
      </c>
      <c r="N4" s="1">
        <v>5000</v>
      </c>
    </row>
    <row r="5" spans="2:14" x14ac:dyDescent="0.3">
      <c r="B5" t="s">
        <v>16</v>
      </c>
      <c r="D5" s="8"/>
      <c r="L5"/>
      <c r="M5" t="s">
        <v>196</v>
      </c>
      <c r="N5" s="1">
        <v>8120</v>
      </c>
    </row>
    <row r="6" spans="2:14" x14ac:dyDescent="0.3">
      <c r="B6" t="s">
        <v>16</v>
      </c>
      <c r="C6" s="8"/>
      <c r="D6" s="8"/>
      <c r="I6" s="15">
        <f>SUM(I2:I5)</f>
        <v>132880</v>
      </c>
      <c r="L6"/>
      <c r="M6" t="s">
        <v>197</v>
      </c>
      <c r="N6" s="1">
        <v>1000</v>
      </c>
    </row>
    <row r="7" spans="2:14" x14ac:dyDescent="0.3">
      <c r="B7" t="s">
        <v>186</v>
      </c>
      <c r="C7" s="8"/>
      <c r="D7" s="8"/>
      <c r="H7" s="1" t="s">
        <v>90</v>
      </c>
      <c r="I7" s="35">
        <f>I6-C31</f>
        <v>-15233.899999999994</v>
      </c>
      <c r="L7"/>
      <c r="M7" t="s">
        <v>198</v>
      </c>
      <c r="N7" s="1">
        <v>500</v>
      </c>
    </row>
    <row r="8" spans="2:14" x14ac:dyDescent="0.3">
      <c r="B8" s="33" t="s">
        <v>31</v>
      </c>
      <c r="D8" s="46">
        <v>10000</v>
      </c>
      <c r="L8" s="48">
        <v>46099</v>
      </c>
      <c r="M8" t="s">
        <v>198</v>
      </c>
      <c r="N8" s="1">
        <v>1000</v>
      </c>
    </row>
    <row r="9" spans="2:14" x14ac:dyDescent="0.3">
      <c r="B9" t="s">
        <v>8</v>
      </c>
      <c r="C9" s="8"/>
      <c r="D9" s="8"/>
      <c r="F9" s="8"/>
      <c r="L9" s="48">
        <v>46100</v>
      </c>
      <c r="M9" t="s">
        <v>202</v>
      </c>
      <c r="N9" s="1">
        <v>1500</v>
      </c>
    </row>
    <row r="10" spans="2:14" x14ac:dyDescent="0.3">
      <c r="B10" t="s">
        <v>32</v>
      </c>
      <c r="C10" s="8"/>
      <c r="D10" s="8"/>
      <c r="H10" t="s">
        <v>189</v>
      </c>
      <c r="L10" s="48">
        <v>46100</v>
      </c>
      <c r="M10" t="s">
        <v>202</v>
      </c>
      <c r="N10" s="1">
        <v>1000</v>
      </c>
    </row>
    <row r="11" spans="2:14" x14ac:dyDescent="0.3">
      <c r="B11" t="s">
        <v>95</v>
      </c>
      <c r="C11" s="8"/>
      <c r="D11" s="8"/>
      <c r="F11" s="8">
        <v>8526</v>
      </c>
      <c r="H11" t="s">
        <v>64</v>
      </c>
      <c r="I11" s="1">
        <v>4000</v>
      </c>
      <c r="L11" s="48">
        <v>46101</v>
      </c>
      <c r="M11" t="s">
        <v>203</v>
      </c>
      <c r="N11" s="1">
        <v>1000</v>
      </c>
    </row>
    <row r="12" spans="2:14" x14ac:dyDescent="0.3">
      <c r="B12" t="s">
        <v>208</v>
      </c>
      <c r="C12" s="8"/>
      <c r="D12" s="8"/>
      <c r="H12" t="s">
        <v>66</v>
      </c>
      <c r="I12" s="1">
        <v>3000</v>
      </c>
      <c r="N12" s="3">
        <f>SUM(N4:N11)</f>
        <v>19120</v>
      </c>
    </row>
    <row r="13" spans="2:14" x14ac:dyDescent="0.3">
      <c r="B13" t="s">
        <v>48</v>
      </c>
      <c r="C13" s="8"/>
      <c r="D13" s="8"/>
      <c r="H13" t="s">
        <v>154</v>
      </c>
      <c r="I13" s="1">
        <v>1000</v>
      </c>
    </row>
    <row r="14" spans="2:14" x14ac:dyDescent="0.3">
      <c r="B14" t="s">
        <v>50</v>
      </c>
      <c r="C14" s="8"/>
      <c r="D14" s="8"/>
      <c r="F14" s="29">
        <v>49247.8</v>
      </c>
      <c r="H14" t="s">
        <v>67</v>
      </c>
      <c r="I14" s="1">
        <v>1950</v>
      </c>
    </row>
    <row r="15" spans="2:14" x14ac:dyDescent="0.3">
      <c r="B15" t="s">
        <v>49</v>
      </c>
      <c r="C15" s="8"/>
      <c r="D15" s="8"/>
      <c r="H15" t="s">
        <v>22</v>
      </c>
      <c r="I15" s="1">
        <v>4000</v>
      </c>
    </row>
    <row r="16" spans="2:14" x14ac:dyDescent="0.3">
      <c r="B16" t="s">
        <v>54</v>
      </c>
      <c r="C16" s="8"/>
      <c r="D16" s="8"/>
      <c r="H16" t="s">
        <v>135</v>
      </c>
      <c r="I16" s="1">
        <v>4000</v>
      </c>
    </row>
    <row r="17" spans="1:16" x14ac:dyDescent="0.3">
      <c r="B17" t="s">
        <v>105</v>
      </c>
      <c r="C17" s="46">
        <f>(C2+C3+C4+D2+D3+D4)*0.042</f>
        <v>5163.9000000000005</v>
      </c>
      <c r="D17" s="8"/>
      <c r="H17"/>
    </row>
    <row r="18" spans="1:16" x14ac:dyDescent="0.3">
      <c r="A18" s="1"/>
      <c r="B18" t="s">
        <v>170</v>
      </c>
      <c r="C18" s="8"/>
      <c r="D18" s="8"/>
      <c r="F18" s="8"/>
      <c r="I18" s="3">
        <f>SUM(I10:I17)</f>
        <v>17950</v>
      </c>
    </row>
    <row r="19" spans="1:16" x14ac:dyDescent="0.3">
      <c r="A19" s="1"/>
      <c r="B19" s="1" t="s">
        <v>192</v>
      </c>
      <c r="C19" s="8"/>
      <c r="D19" s="8"/>
      <c r="H19"/>
    </row>
    <row r="20" spans="1:16" s="1" customFormat="1" x14ac:dyDescent="0.3">
      <c r="B20" s="1" t="s">
        <v>165</v>
      </c>
      <c r="C20" s="8"/>
      <c r="D20" s="8">
        <f>57002.4+4640</f>
        <v>61642.400000000001</v>
      </c>
      <c r="E20" s="8"/>
      <c r="G20" s="8"/>
      <c r="H20"/>
      <c r="K20"/>
      <c r="L20" s="1">
        <f>17+5+13</f>
        <v>35</v>
      </c>
      <c r="M20"/>
      <c r="P20"/>
    </row>
    <row r="21" spans="1:16" s="1" customFormat="1" x14ac:dyDescent="0.3">
      <c r="B21" s="1" t="s">
        <v>109</v>
      </c>
      <c r="C21" s="8"/>
      <c r="D21" s="8"/>
      <c r="E21" s="8"/>
      <c r="G21" s="8"/>
      <c r="H21"/>
      <c r="K21"/>
      <c r="L21" s="1">
        <v>57</v>
      </c>
      <c r="M21"/>
      <c r="P21"/>
    </row>
    <row r="22" spans="1:16" s="1" customFormat="1" x14ac:dyDescent="0.3">
      <c r="B22" s="8" t="s">
        <v>126</v>
      </c>
      <c r="C22" s="8"/>
      <c r="D22" s="8"/>
      <c r="E22" s="8"/>
      <c r="G22" s="8"/>
      <c r="H22"/>
      <c r="K22"/>
      <c r="L22" s="1">
        <f>SUM(L20:L21)</f>
        <v>92</v>
      </c>
      <c r="M22"/>
      <c r="P22"/>
    </row>
    <row r="23" spans="1:16" s="1" customFormat="1" x14ac:dyDescent="0.3">
      <c r="B23" s="1" t="s">
        <v>1</v>
      </c>
      <c r="C23" s="8"/>
      <c r="D23" s="8">
        <v>25000</v>
      </c>
      <c r="E23" s="8"/>
      <c r="G23" s="23"/>
      <c r="H23"/>
      <c r="K23"/>
      <c r="M23"/>
      <c r="P23"/>
    </row>
    <row r="24" spans="1:16" s="1" customFormat="1" x14ac:dyDescent="0.3">
      <c r="B24" s="1" t="s">
        <v>138</v>
      </c>
      <c r="C24" s="8"/>
      <c r="D24" s="8"/>
      <c r="E24" s="8"/>
      <c r="G24" s="23"/>
      <c r="H24"/>
      <c r="K24"/>
      <c r="M24"/>
      <c r="P24"/>
    </row>
    <row r="25" spans="1:16" s="1" customFormat="1" x14ac:dyDescent="0.3">
      <c r="B25" s="1" t="s">
        <v>156</v>
      </c>
      <c r="C25" s="8"/>
      <c r="D25" s="8">
        <f>1450*5</f>
        <v>7250</v>
      </c>
      <c r="E25" s="8"/>
      <c r="F25" s="16">
        <v>30000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155</v>
      </c>
      <c r="C26" s="8"/>
      <c r="D26" s="8"/>
      <c r="E26" s="8"/>
      <c r="F26" s="1">
        <f>47000-D24</f>
        <v>47000</v>
      </c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190</v>
      </c>
      <c r="C27" s="46">
        <v>20000</v>
      </c>
      <c r="D27" s="8"/>
      <c r="E27" s="8"/>
      <c r="G27" s="23"/>
      <c r="K27"/>
      <c r="M27"/>
      <c r="P27"/>
    </row>
    <row r="28" spans="1:16" s="1" customFormat="1" x14ac:dyDescent="0.3">
      <c r="B28" s="1" t="s">
        <v>135</v>
      </c>
      <c r="C28" s="8"/>
      <c r="D28" s="8"/>
      <c r="E28" s="8"/>
      <c r="G28" s="23"/>
      <c r="K28"/>
      <c r="M28"/>
      <c r="P28"/>
    </row>
    <row r="29" spans="1:16" s="1" customFormat="1" x14ac:dyDescent="0.3">
      <c r="B29" s="1" t="s">
        <v>206</v>
      </c>
      <c r="D29" s="46">
        <v>50000</v>
      </c>
      <c r="E29" s="8"/>
      <c r="G29" s="23"/>
      <c r="K29"/>
      <c r="M29"/>
      <c r="P29"/>
    </row>
    <row r="30" spans="1:16" s="1" customFormat="1" x14ac:dyDescent="0.3">
      <c r="C30" s="8"/>
      <c r="D30" s="8"/>
      <c r="E30" s="8"/>
      <c r="G30" s="23"/>
      <c r="K30"/>
      <c r="M30"/>
      <c r="P30"/>
    </row>
    <row r="31" spans="1:16" s="1" customFormat="1" x14ac:dyDescent="0.3">
      <c r="A31"/>
      <c r="B31"/>
      <c r="C31" s="15">
        <f>SUM(C2:C30)</f>
        <v>148113.9</v>
      </c>
      <c r="D31" s="34">
        <f>SUM(D2:D30)</f>
        <v>153892.4</v>
      </c>
      <c r="E31" s="23"/>
      <c r="F31" s="15">
        <f>SUM(F2:F29)</f>
        <v>134773.79999999999</v>
      </c>
      <c r="G31" s="23"/>
      <c r="K31"/>
      <c r="M31"/>
      <c r="P31"/>
    </row>
    <row r="32" spans="1:16" x14ac:dyDescent="0.3">
      <c r="C32" s="38"/>
      <c r="E32" s="45"/>
    </row>
    <row r="33" spans="1:16" x14ac:dyDescent="0.3">
      <c r="C33" s="38"/>
      <c r="E33" s="45"/>
    </row>
    <row r="34" spans="1:16" s="1" customFormat="1" x14ac:dyDescent="0.3">
      <c r="A34"/>
      <c r="E34" s="45"/>
      <c r="G34" s="8"/>
      <c r="K34"/>
      <c r="M34"/>
      <c r="P34"/>
    </row>
    <row r="35" spans="1:16" s="1" customFormat="1" x14ac:dyDescent="0.3">
      <c r="A35"/>
      <c r="C35" s="8"/>
      <c r="E35" s="45"/>
      <c r="G35" s="8"/>
      <c r="K35"/>
      <c r="M35"/>
      <c r="P35"/>
    </row>
    <row r="36" spans="1:16" s="1" customFormat="1" x14ac:dyDescent="0.3">
      <c r="B36"/>
      <c r="C36" s="8"/>
      <c r="E36" s="45"/>
      <c r="G36" s="8"/>
      <c r="K36"/>
      <c r="M36"/>
      <c r="P36"/>
    </row>
    <row r="37" spans="1:16" s="1" customFormat="1" x14ac:dyDescent="0.3">
      <c r="A37"/>
      <c r="B37"/>
      <c r="C37" s="38"/>
      <c r="E37" s="45"/>
      <c r="G37" s="8"/>
      <c r="K37"/>
      <c r="M37"/>
    </row>
    <row r="38" spans="1:16" s="1" customFormat="1" x14ac:dyDescent="0.3">
      <c r="B38"/>
      <c r="C38" s="38"/>
      <c r="E38" s="45"/>
      <c r="G38" s="8"/>
      <c r="K38"/>
      <c r="M38"/>
      <c r="P38"/>
    </row>
    <row r="39" spans="1:16" s="1" customFormat="1" x14ac:dyDescent="0.3">
      <c r="B39"/>
      <c r="E39" s="8"/>
      <c r="G39" s="8"/>
      <c r="K39"/>
      <c r="M39"/>
    </row>
    <row r="40" spans="1:16" s="1" customFormat="1" x14ac:dyDescent="0.3">
      <c r="B40"/>
      <c r="E40" s="8"/>
      <c r="G40" s="8"/>
      <c r="K40"/>
      <c r="M40"/>
    </row>
    <row r="41" spans="1:16" s="1" customFormat="1" x14ac:dyDescent="0.3">
      <c r="A41"/>
      <c r="B41"/>
      <c r="E41" s="8"/>
      <c r="G41" s="8"/>
      <c r="K41"/>
      <c r="M41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7B42-6F0C-401C-A8DB-7726D1F79D28}">
  <dimension ref="A1:P41"/>
  <sheetViews>
    <sheetView topLeftCell="A19" workbookViewId="0">
      <selection activeCell="B33" sqref="B33:E41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4" x14ac:dyDescent="0.3">
      <c r="B1" s="2" t="s">
        <v>205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100000</v>
      </c>
      <c r="D2" s="8"/>
      <c r="H2" s="1" t="s">
        <v>169</v>
      </c>
      <c r="J2" s="1">
        <v>33079</v>
      </c>
      <c r="M2" s="2" t="s">
        <v>194</v>
      </c>
    </row>
    <row r="3" spans="2:14" x14ac:dyDescent="0.3">
      <c r="B3" t="s">
        <v>193</v>
      </c>
      <c r="C3" s="46">
        <f>3900+6900</f>
        <v>10800</v>
      </c>
      <c r="D3" s="8"/>
      <c r="H3" s="1" t="s">
        <v>178</v>
      </c>
      <c r="I3" s="1">
        <v>203456</v>
      </c>
      <c r="L3"/>
    </row>
    <row r="4" spans="2:14" x14ac:dyDescent="0.3">
      <c r="B4" t="s">
        <v>45</v>
      </c>
      <c r="C4" s="46">
        <f>I20</f>
        <v>16950</v>
      </c>
      <c r="D4" s="8"/>
      <c r="H4" s="1" t="s">
        <v>184</v>
      </c>
      <c r="L4"/>
      <c r="M4" t="s">
        <v>195</v>
      </c>
      <c r="N4" s="1">
        <v>5000</v>
      </c>
    </row>
    <row r="5" spans="2:14" x14ac:dyDescent="0.3">
      <c r="B5" t="s">
        <v>16</v>
      </c>
      <c r="D5" s="8"/>
      <c r="L5"/>
      <c r="M5" t="s">
        <v>196</v>
      </c>
      <c r="N5" s="1">
        <v>8120</v>
      </c>
    </row>
    <row r="6" spans="2:14" x14ac:dyDescent="0.3">
      <c r="B6" t="s">
        <v>16</v>
      </c>
      <c r="C6" s="8"/>
      <c r="D6" s="8"/>
      <c r="I6" s="15">
        <f>SUM(I2:I5)</f>
        <v>203456</v>
      </c>
      <c r="L6"/>
      <c r="M6" t="s">
        <v>197</v>
      </c>
      <c r="N6" s="1">
        <v>1000</v>
      </c>
    </row>
    <row r="7" spans="2:14" x14ac:dyDescent="0.3">
      <c r="B7" t="s">
        <v>186</v>
      </c>
      <c r="C7" s="8"/>
      <c r="D7" s="8"/>
      <c r="H7" s="1" t="s">
        <v>90</v>
      </c>
      <c r="I7" s="35">
        <f>I6-C31</f>
        <v>299.08999999999651</v>
      </c>
      <c r="L7"/>
      <c r="M7" t="s">
        <v>198</v>
      </c>
      <c r="N7" s="1">
        <v>500</v>
      </c>
    </row>
    <row r="8" spans="2:14" x14ac:dyDescent="0.3">
      <c r="B8" s="33" t="s">
        <v>31</v>
      </c>
      <c r="C8" s="46">
        <v>10000</v>
      </c>
      <c r="D8" s="8"/>
      <c r="L8" s="48">
        <v>46099</v>
      </c>
      <c r="M8" t="s">
        <v>198</v>
      </c>
      <c r="N8" s="1">
        <v>1000</v>
      </c>
    </row>
    <row r="9" spans="2:14" x14ac:dyDescent="0.3">
      <c r="B9" t="s">
        <v>8</v>
      </c>
      <c r="C9" s="8"/>
      <c r="D9" s="8"/>
      <c r="F9" s="8"/>
      <c r="L9" s="48">
        <v>46100</v>
      </c>
      <c r="M9" t="s">
        <v>202</v>
      </c>
      <c r="N9" s="1">
        <v>1500</v>
      </c>
    </row>
    <row r="10" spans="2:14" x14ac:dyDescent="0.3">
      <c r="B10" t="s">
        <v>32</v>
      </c>
      <c r="C10" s="8"/>
      <c r="D10" s="8"/>
      <c r="H10" t="s">
        <v>189</v>
      </c>
      <c r="L10" s="48">
        <v>46100</v>
      </c>
      <c r="M10" t="s">
        <v>202</v>
      </c>
      <c r="N10" s="1">
        <v>1000</v>
      </c>
    </row>
    <row r="11" spans="2:14" x14ac:dyDescent="0.3">
      <c r="B11" t="s">
        <v>95</v>
      </c>
      <c r="C11" s="8"/>
      <c r="D11" s="8"/>
      <c r="F11" s="8">
        <v>8526</v>
      </c>
      <c r="H11" t="s">
        <v>64</v>
      </c>
      <c r="I11" s="1">
        <v>4000</v>
      </c>
      <c r="L11" s="48">
        <v>46101</v>
      </c>
      <c r="M11" t="s">
        <v>203</v>
      </c>
      <c r="N11" s="1">
        <v>1000</v>
      </c>
    </row>
    <row r="12" spans="2:14" x14ac:dyDescent="0.3">
      <c r="B12" t="s">
        <v>208</v>
      </c>
      <c r="C12" s="46">
        <v>2501.41</v>
      </c>
      <c r="D12" s="8"/>
      <c r="H12" t="s">
        <v>66</v>
      </c>
      <c r="I12" s="1">
        <v>4000</v>
      </c>
      <c r="N12" s="3">
        <f>SUM(N4:N11)</f>
        <v>19120</v>
      </c>
    </row>
    <row r="13" spans="2:14" x14ac:dyDescent="0.3">
      <c r="B13" t="s">
        <v>48</v>
      </c>
      <c r="C13" s="8"/>
      <c r="D13" s="8"/>
      <c r="H13" t="s">
        <v>154</v>
      </c>
      <c r="I13" s="1">
        <v>1000</v>
      </c>
    </row>
    <row r="14" spans="2:14" x14ac:dyDescent="0.3">
      <c r="B14" t="s">
        <v>50</v>
      </c>
      <c r="C14" s="8"/>
      <c r="D14" s="8"/>
      <c r="F14" s="29">
        <v>49247.8</v>
      </c>
      <c r="H14" t="s">
        <v>67</v>
      </c>
      <c r="I14" s="1">
        <v>1950</v>
      </c>
    </row>
    <row r="15" spans="2:14" x14ac:dyDescent="0.3">
      <c r="B15" t="s">
        <v>49</v>
      </c>
      <c r="C15" s="8"/>
      <c r="D15" s="8"/>
      <c r="H15" t="s">
        <v>22</v>
      </c>
      <c r="I15" s="1">
        <v>3000</v>
      </c>
    </row>
    <row r="16" spans="2:14" x14ac:dyDescent="0.3">
      <c r="B16" t="s">
        <v>54</v>
      </c>
      <c r="C16" s="8"/>
      <c r="D16" s="8"/>
      <c r="H16" t="s">
        <v>135</v>
      </c>
      <c r="I16" s="1">
        <v>3000</v>
      </c>
    </row>
    <row r="17" spans="1:16" x14ac:dyDescent="0.3">
      <c r="B17" t="s">
        <v>105</v>
      </c>
      <c r="C17" s="46">
        <f>(C2+C3+C4+D2+D3+D4)*0.042</f>
        <v>5365.5</v>
      </c>
      <c r="D17" s="8"/>
      <c r="H17"/>
    </row>
    <row r="18" spans="1:16" x14ac:dyDescent="0.3">
      <c r="A18" s="1"/>
      <c r="B18" t="s">
        <v>170</v>
      </c>
      <c r="C18" s="8"/>
      <c r="D18" s="8"/>
      <c r="F18" s="8"/>
    </row>
    <row r="19" spans="1:16" x14ac:dyDescent="0.3">
      <c r="A19" s="1"/>
      <c r="B19" s="1" t="s">
        <v>192</v>
      </c>
      <c r="C19" s="8"/>
      <c r="D19" s="8"/>
      <c r="H19"/>
    </row>
    <row r="20" spans="1:16" s="1" customFormat="1" x14ac:dyDescent="0.3">
      <c r="B20" s="1" t="s">
        <v>165</v>
      </c>
      <c r="C20" s="8"/>
      <c r="D20" s="8">
        <f>57002.4+4640</f>
        <v>61642.400000000001</v>
      </c>
      <c r="E20" s="8"/>
      <c r="G20" s="8"/>
      <c r="H20"/>
      <c r="I20" s="3">
        <f>SUM(I10:I19)</f>
        <v>16950</v>
      </c>
      <c r="K20"/>
      <c r="L20" s="1">
        <f>17+5+13</f>
        <v>35</v>
      </c>
      <c r="M20"/>
      <c r="P20"/>
    </row>
    <row r="21" spans="1:16" s="1" customFormat="1" x14ac:dyDescent="0.3">
      <c r="B21" s="1" t="s">
        <v>109</v>
      </c>
      <c r="C21" s="8"/>
      <c r="D21" s="8"/>
      <c r="E21" s="8"/>
      <c r="G21" s="8"/>
      <c r="H21"/>
      <c r="K21"/>
      <c r="L21" s="1">
        <v>57</v>
      </c>
      <c r="M21"/>
      <c r="P21"/>
    </row>
    <row r="22" spans="1:16" s="1" customFormat="1" x14ac:dyDescent="0.3">
      <c r="B22" s="8" t="s">
        <v>126</v>
      </c>
      <c r="C22" s="8"/>
      <c r="D22" s="8"/>
      <c r="E22" s="8"/>
      <c r="G22" s="8"/>
      <c r="H22"/>
      <c r="K22"/>
      <c r="L22" s="1">
        <f>SUM(L20:L21)</f>
        <v>92</v>
      </c>
      <c r="M22"/>
      <c r="P22"/>
    </row>
    <row r="23" spans="1:16" s="1" customFormat="1" x14ac:dyDescent="0.3">
      <c r="B23" s="1" t="s">
        <v>1</v>
      </c>
      <c r="C23" s="8"/>
      <c r="D23" s="8">
        <v>25000</v>
      </c>
      <c r="E23" s="8"/>
      <c r="G23" s="23"/>
      <c r="H23"/>
      <c r="K23"/>
      <c r="M23"/>
      <c r="P23"/>
    </row>
    <row r="24" spans="1:16" s="1" customFormat="1" x14ac:dyDescent="0.3">
      <c r="B24" s="1" t="s">
        <v>138</v>
      </c>
      <c r="C24" s="8"/>
      <c r="D24" s="8"/>
      <c r="E24" s="8"/>
      <c r="G24" s="23"/>
      <c r="H24"/>
      <c r="K24"/>
      <c r="M24"/>
      <c r="P24"/>
    </row>
    <row r="25" spans="1:16" s="1" customFormat="1" x14ac:dyDescent="0.3">
      <c r="B25" s="1" t="s">
        <v>156</v>
      </c>
      <c r="C25" s="8"/>
      <c r="D25" s="8">
        <f>1450*5</f>
        <v>7250</v>
      </c>
      <c r="E25" s="8"/>
      <c r="F25" s="16">
        <v>30000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155</v>
      </c>
      <c r="C26" s="8"/>
      <c r="D26" s="8"/>
      <c r="E26" s="8"/>
      <c r="F26" s="1">
        <f>47000-D24</f>
        <v>47000</v>
      </c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190</v>
      </c>
      <c r="D27" s="8">
        <v>20000</v>
      </c>
      <c r="E27" s="8"/>
      <c r="G27" s="23"/>
      <c r="K27"/>
      <c r="M27"/>
      <c r="P27"/>
    </row>
    <row r="28" spans="1:16" s="1" customFormat="1" x14ac:dyDescent="0.3">
      <c r="B28" s="1" t="s">
        <v>135</v>
      </c>
      <c r="C28" s="8"/>
      <c r="D28" s="8"/>
      <c r="E28" s="8"/>
      <c r="G28" s="23"/>
      <c r="K28"/>
      <c r="M28"/>
      <c r="P28"/>
    </row>
    <row r="29" spans="1:16" s="1" customFormat="1" x14ac:dyDescent="0.3">
      <c r="B29" s="1" t="s">
        <v>206</v>
      </c>
      <c r="C29" s="46">
        <v>50000</v>
      </c>
      <c r="D29" s="8"/>
      <c r="E29" s="8"/>
      <c r="G29" s="23"/>
      <c r="K29"/>
      <c r="M29"/>
      <c r="P29"/>
    </row>
    <row r="30" spans="1:16" s="1" customFormat="1" x14ac:dyDescent="0.3">
      <c r="B30" s="1" t="s">
        <v>207</v>
      </c>
      <c r="C30" s="46">
        <v>7540</v>
      </c>
      <c r="D30" s="8"/>
      <c r="E30" s="8"/>
      <c r="G30" s="23"/>
      <c r="K30"/>
      <c r="M30"/>
      <c r="P30"/>
    </row>
    <row r="31" spans="1:16" s="1" customFormat="1" x14ac:dyDescent="0.3">
      <c r="A31"/>
      <c r="B31"/>
      <c r="C31" s="15">
        <f>SUM(C2:C30)</f>
        <v>203156.91</v>
      </c>
      <c r="D31" s="34">
        <f>SUM(D2:D30)</f>
        <v>113892.4</v>
      </c>
      <c r="E31" s="23"/>
      <c r="F31" s="15">
        <f>SUM(F2:F29)</f>
        <v>134773.79999999999</v>
      </c>
      <c r="G31" s="23"/>
      <c r="K31"/>
      <c r="M31"/>
      <c r="P31"/>
    </row>
    <row r="32" spans="1:16" x14ac:dyDescent="0.3">
      <c r="C32" s="38"/>
      <c r="E32" s="45"/>
    </row>
    <row r="33" spans="1:16" x14ac:dyDescent="0.3">
      <c r="C33" s="38"/>
      <c r="E33" s="45"/>
    </row>
    <row r="34" spans="1:16" s="1" customFormat="1" x14ac:dyDescent="0.3">
      <c r="A34"/>
      <c r="B34"/>
      <c r="C34" s="38"/>
      <c r="E34" s="45"/>
      <c r="G34" s="8"/>
      <c r="K34"/>
      <c r="M34"/>
      <c r="P34"/>
    </row>
    <row r="35" spans="1:16" s="1" customFormat="1" x14ac:dyDescent="0.3">
      <c r="A35"/>
      <c r="B35"/>
      <c r="C35" s="38"/>
      <c r="E35" s="45"/>
      <c r="G35" s="8"/>
      <c r="K35"/>
      <c r="M35"/>
      <c r="P35"/>
    </row>
    <row r="36" spans="1:16" s="1" customFormat="1" x14ac:dyDescent="0.3">
      <c r="B36"/>
      <c r="C36" s="38"/>
      <c r="E36" s="45"/>
      <c r="G36" s="8"/>
      <c r="K36"/>
      <c r="M36"/>
      <c r="P36"/>
    </row>
    <row r="37" spans="1:16" s="1" customFormat="1" x14ac:dyDescent="0.3">
      <c r="A37"/>
      <c r="B37"/>
      <c r="C37" s="38"/>
      <c r="E37" s="45"/>
      <c r="G37" s="8"/>
      <c r="K37"/>
      <c r="M37"/>
    </row>
    <row r="38" spans="1:16" s="1" customFormat="1" x14ac:dyDescent="0.3">
      <c r="B38"/>
      <c r="C38" s="38"/>
      <c r="E38" s="45"/>
      <c r="G38" s="8"/>
      <c r="K38"/>
      <c r="M38"/>
      <c r="P38"/>
    </row>
    <row r="39" spans="1:16" s="1" customFormat="1" x14ac:dyDescent="0.3">
      <c r="B39"/>
      <c r="C39" s="38"/>
      <c r="E39" s="45"/>
      <c r="G39" s="8"/>
      <c r="K39"/>
      <c r="M39"/>
    </row>
    <row r="40" spans="1:16" s="1" customFormat="1" x14ac:dyDescent="0.3">
      <c r="B40"/>
      <c r="C40" s="38"/>
      <c r="E40" s="45"/>
      <c r="G40" s="8"/>
      <c r="K40"/>
      <c r="M40"/>
    </row>
    <row r="41" spans="1:16" s="1" customFormat="1" x14ac:dyDescent="0.3">
      <c r="A41"/>
      <c r="B41"/>
      <c r="C41" s="38"/>
      <c r="E41" s="45"/>
      <c r="G41" s="8"/>
      <c r="K41"/>
      <c r="M41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49FC-EB61-48B1-9513-4C9A8AAFE4B7}">
  <dimension ref="A1:P41"/>
  <sheetViews>
    <sheetView topLeftCell="A3" workbookViewId="0">
      <selection activeCell="F31" sqref="F31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</cols>
  <sheetData>
    <row r="1" spans="2:14" x14ac:dyDescent="0.3">
      <c r="B1" s="2" t="s">
        <v>200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10000</v>
      </c>
      <c r="D2" s="46">
        <f>110000-C2</f>
        <v>100000</v>
      </c>
      <c r="H2" s="1" t="s">
        <v>169</v>
      </c>
      <c r="I2" s="1">
        <v>199760</v>
      </c>
      <c r="M2" s="2" t="s">
        <v>194</v>
      </c>
    </row>
    <row r="3" spans="2:14" x14ac:dyDescent="0.3">
      <c r="B3" t="s">
        <v>193</v>
      </c>
      <c r="C3" s="46">
        <f>3900+6900</f>
        <v>10800</v>
      </c>
      <c r="D3" s="46">
        <f>3900+6900</f>
        <v>10800</v>
      </c>
      <c r="H3" s="1" t="s">
        <v>178</v>
      </c>
      <c r="I3" s="1">
        <f>258060/2</f>
        <v>129030</v>
      </c>
      <c r="L3"/>
    </row>
    <row r="4" spans="2:14" x14ac:dyDescent="0.3">
      <c r="B4" t="s">
        <v>45</v>
      </c>
      <c r="C4" s="46">
        <v>10000</v>
      </c>
      <c r="D4" s="46">
        <f>I20-C4</f>
        <v>8950</v>
      </c>
      <c r="H4" s="1" t="s">
        <v>184</v>
      </c>
      <c r="L4"/>
      <c r="M4" t="s">
        <v>195</v>
      </c>
      <c r="N4" s="1">
        <v>5000</v>
      </c>
    </row>
    <row r="5" spans="2:14" x14ac:dyDescent="0.3">
      <c r="B5" t="s">
        <v>16</v>
      </c>
      <c r="D5" s="8">
        <v>35000</v>
      </c>
      <c r="L5"/>
      <c r="M5" t="s">
        <v>196</v>
      </c>
      <c r="N5" s="1">
        <v>8120</v>
      </c>
    </row>
    <row r="6" spans="2:14" x14ac:dyDescent="0.3">
      <c r="B6" t="s">
        <v>16</v>
      </c>
      <c r="C6" s="8"/>
      <c r="D6" s="8"/>
      <c r="I6" s="15">
        <f>SUM(I2:I5)</f>
        <v>328790</v>
      </c>
      <c r="L6"/>
      <c r="M6" t="s">
        <v>197</v>
      </c>
      <c r="N6" s="1">
        <v>1000</v>
      </c>
    </row>
    <row r="7" spans="2:14" x14ac:dyDescent="0.3">
      <c r="B7" t="s">
        <v>186</v>
      </c>
      <c r="C7" s="8"/>
      <c r="D7" s="46">
        <v>7467.5</v>
      </c>
      <c r="H7" s="1" t="s">
        <v>90</v>
      </c>
      <c r="I7" s="35">
        <f>I6-C31-D31</f>
        <v>57962.400000000023</v>
      </c>
      <c r="L7"/>
      <c r="M7" t="s">
        <v>198</v>
      </c>
      <c r="N7" s="1">
        <v>500</v>
      </c>
    </row>
    <row r="8" spans="2:14" x14ac:dyDescent="0.3">
      <c r="B8" s="33" t="s">
        <v>31</v>
      </c>
      <c r="C8" s="8"/>
      <c r="D8" s="46">
        <v>10000</v>
      </c>
      <c r="L8" s="48">
        <v>46099</v>
      </c>
      <c r="M8" t="s">
        <v>198</v>
      </c>
      <c r="N8" s="1">
        <v>1000</v>
      </c>
    </row>
    <row r="9" spans="2:14" x14ac:dyDescent="0.3">
      <c r="B9" t="s">
        <v>8</v>
      </c>
      <c r="C9" s="46">
        <v>3828</v>
      </c>
      <c r="D9" s="8"/>
      <c r="F9" s="8"/>
      <c r="L9" s="48">
        <v>46100</v>
      </c>
      <c r="M9" t="s">
        <v>202</v>
      </c>
      <c r="N9" s="1">
        <v>1500</v>
      </c>
    </row>
    <row r="10" spans="2:14" x14ac:dyDescent="0.3">
      <c r="B10" t="s">
        <v>32</v>
      </c>
      <c r="C10" s="8"/>
      <c r="D10" s="8"/>
      <c r="H10" t="s">
        <v>189</v>
      </c>
      <c r="L10" s="48">
        <v>46100</v>
      </c>
      <c r="M10" t="s">
        <v>202</v>
      </c>
      <c r="N10" s="1">
        <v>1000</v>
      </c>
    </row>
    <row r="11" spans="2:14" x14ac:dyDescent="0.3">
      <c r="B11" t="s">
        <v>95</v>
      </c>
      <c r="C11" s="8"/>
      <c r="D11" s="8"/>
      <c r="F11" s="8">
        <v>8526</v>
      </c>
      <c r="H11" t="s">
        <v>64</v>
      </c>
      <c r="I11" s="1">
        <v>4000</v>
      </c>
      <c r="L11" s="48">
        <v>46101</v>
      </c>
      <c r="M11" t="s">
        <v>203</v>
      </c>
      <c r="N11" s="1">
        <v>1000</v>
      </c>
    </row>
    <row r="12" spans="2:14" x14ac:dyDescent="0.3">
      <c r="B12" t="s">
        <v>204</v>
      </c>
      <c r="C12" s="46">
        <f>9000+4500+1000</f>
        <v>14500</v>
      </c>
      <c r="D12" s="8"/>
      <c r="H12" t="s">
        <v>66</v>
      </c>
      <c r="I12" s="1">
        <v>3500</v>
      </c>
      <c r="N12" s="3">
        <f>SUM(N4:N11)</f>
        <v>19120</v>
      </c>
    </row>
    <row r="13" spans="2:14" x14ac:dyDescent="0.3">
      <c r="B13" t="s">
        <v>48</v>
      </c>
      <c r="C13" s="8"/>
      <c r="D13" s="8"/>
      <c r="H13" t="s">
        <v>154</v>
      </c>
      <c r="I13" s="1">
        <v>1500</v>
      </c>
    </row>
    <row r="14" spans="2:14" x14ac:dyDescent="0.3">
      <c r="B14" t="s">
        <v>50</v>
      </c>
      <c r="C14" s="8"/>
      <c r="D14" s="8"/>
      <c r="F14" s="29">
        <v>49247.8</v>
      </c>
      <c r="H14" t="s">
        <v>67</v>
      </c>
      <c r="I14" s="1">
        <v>1950</v>
      </c>
    </row>
    <row r="15" spans="2:14" x14ac:dyDescent="0.3">
      <c r="B15" t="s">
        <v>49</v>
      </c>
      <c r="C15" s="8"/>
      <c r="D15" s="8"/>
      <c r="H15" t="s">
        <v>22</v>
      </c>
      <c r="I15" s="1">
        <v>4000</v>
      </c>
    </row>
    <row r="16" spans="2:14" x14ac:dyDescent="0.3">
      <c r="B16" t="s">
        <v>54</v>
      </c>
      <c r="C16" s="8"/>
      <c r="D16" s="8"/>
      <c r="H16" t="s">
        <v>135</v>
      </c>
      <c r="I16" s="1">
        <v>4000</v>
      </c>
    </row>
    <row r="17" spans="1:16" x14ac:dyDescent="0.3">
      <c r="B17" t="s">
        <v>105</v>
      </c>
      <c r="C17" s="46">
        <f>(C2+C3+C4+D2+D3+D4)*0.042</f>
        <v>6323.1</v>
      </c>
      <c r="D17" s="8"/>
      <c r="H17"/>
    </row>
    <row r="18" spans="1:16" x14ac:dyDescent="0.3">
      <c r="A18" s="1"/>
      <c r="B18" t="s">
        <v>170</v>
      </c>
      <c r="C18" s="46">
        <v>3410</v>
      </c>
      <c r="D18" s="8"/>
      <c r="F18" s="8"/>
    </row>
    <row r="19" spans="1:16" x14ac:dyDescent="0.3">
      <c r="A19" s="1"/>
      <c r="B19" s="1" t="s">
        <v>192</v>
      </c>
      <c r="C19" s="8"/>
      <c r="D19" s="8"/>
      <c r="H19"/>
    </row>
    <row r="20" spans="1:16" s="1" customFormat="1" x14ac:dyDescent="0.3">
      <c r="B20" s="1" t="s">
        <v>165</v>
      </c>
      <c r="C20" s="8"/>
      <c r="E20" s="8">
        <f>57002.4+4640</f>
        <v>61642.400000000001</v>
      </c>
      <c r="G20" s="8"/>
      <c r="H20"/>
      <c r="I20" s="3">
        <f>SUM(I10:I19)</f>
        <v>18950</v>
      </c>
      <c r="K20"/>
      <c r="M20"/>
      <c r="P20"/>
    </row>
    <row r="21" spans="1:16" s="1" customFormat="1" x14ac:dyDescent="0.3">
      <c r="B21" s="1" t="s">
        <v>109</v>
      </c>
      <c r="C21" s="8"/>
      <c r="D21" s="8"/>
      <c r="E21" s="8"/>
      <c r="G21" s="8"/>
      <c r="H21"/>
      <c r="K21"/>
      <c r="M21"/>
      <c r="P21"/>
    </row>
    <row r="22" spans="1:16" s="1" customFormat="1" x14ac:dyDescent="0.3">
      <c r="B22" s="8" t="s">
        <v>126</v>
      </c>
      <c r="C22" s="8"/>
      <c r="D22" s="8"/>
      <c r="E22" s="8"/>
      <c r="G22" s="8"/>
      <c r="H22"/>
      <c r="K22"/>
      <c r="M22"/>
      <c r="P22"/>
    </row>
    <row r="23" spans="1:16" s="1" customFormat="1" x14ac:dyDescent="0.3">
      <c r="B23" s="1" t="s">
        <v>1</v>
      </c>
      <c r="C23" s="8"/>
      <c r="D23" s="46">
        <v>25000</v>
      </c>
      <c r="E23" s="8"/>
      <c r="G23" s="23"/>
      <c r="H23"/>
      <c r="K23"/>
      <c r="M23"/>
      <c r="P23"/>
    </row>
    <row r="24" spans="1:16" s="1" customFormat="1" x14ac:dyDescent="0.3">
      <c r="B24" s="1" t="s">
        <v>138</v>
      </c>
      <c r="C24" s="8"/>
      <c r="D24" s="8"/>
      <c r="E24" s="8"/>
      <c r="G24" s="23"/>
      <c r="H24"/>
      <c r="K24"/>
      <c r="M24"/>
      <c r="P24"/>
    </row>
    <row r="25" spans="1:16" s="1" customFormat="1" x14ac:dyDescent="0.3">
      <c r="B25" s="1" t="s">
        <v>156</v>
      </c>
      <c r="C25" s="8"/>
      <c r="D25" s="46">
        <f>1450*5</f>
        <v>7250</v>
      </c>
      <c r="E25" s="8"/>
      <c r="F25" s="16">
        <v>30000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155</v>
      </c>
      <c r="C26" s="8"/>
      <c r="D26" s="8"/>
      <c r="E26" s="8"/>
      <c r="F26" s="1">
        <f>47000-D24</f>
        <v>47000</v>
      </c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190</v>
      </c>
      <c r="E27" s="8"/>
      <c r="F27" s="8">
        <v>20000</v>
      </c>
      <c r="G27" s="23"/>
      <c r="K27"/>
      <c r="M27"/>
      <c r="P27"/>
    </row>
    <row r="28" spans="1:16" s="1" customFormat="1" x14ac:dyDescent="0.3">
      <c r="B28" s="1" t="s">
        <v>135</v>
      </c>
      <c r="C28" s="8"/>
      <c r="D28" s="8"/>
      <c r="E28" s="8"/>
      <c r="G28" s="23"/>
      <c r="K28"/>
      <c r="M28"/>
      <c r="P28"/>
    </row>
    <row r="29" spans="1:16" s="1" customFormat="1" x14ac:dyDescent="0.3">
      <c r="B29" s="1" t="s">
        <v>22</v>
      </c>
      <c r="C29" s="8"/>
      <c r="D29" s="8"/>
      <c r="E29" s="8">
        <f>C29</f>
        <v>0</v>
      </c>
      <c r="G29" s="23"/>
      <c r="K29"/>
      <c r="M29"/>
      <c r="P29"/>
    </row>
    <row r="30" spans="1:16" s="1" customFormat="1" x14ac:dyDescent="0.3">
      <c r="B30" s="1" t="s">
        <v>201</v>
      </c>
      <c r="C30" s="46">
        <v>7499</v>
      </c>
      <c r="D30" s="8"/>
      <c r="E30" s="8"/>
      <c r="G30" s="23"/>
      <c r="K30"/>
      <c r="M30"/>
      <c r="P30"/>
    </row>
    <row r="31" spans="1:16" s="1" customFormat="1" x14ac:dyDescent="0.3">
      <c r="A31"/>
      <c r="B31"/>
      <c r="C31" s="15">
        <f>SUM(C2:C30)</f>
        <v>66360.100000000006</v>
      </c>
      <c r="D31" s="34">
        <f>SUM(D2:D30)</f>
        <v>204467.5</v>
      </c>
      <c r="E31" s="23"/>
      <c r="F31" s="15">
        <f>SUM(F2:F29)</f>
        <v>154773.79999999999</v>
      </c>
      <c r="G31" s="23"/>
      <c r="K31"/>
      <c r="M31"/>
      <c r="P31"/>
    </row>
    <row r="32" spans="1:16" x14ac:dyDescent="0.3">
      <c r="C32" s="38"/>
      <c r="E32" s="45"/>
    </row>
    <row r="33" spans="1:16" x14ac:dyDescent="0.3">
      <c r="C33" s="38"/>
      <c r="E33" s="45"/>
    </row>
    <row r="34" spans="1:16" s="1" customFormat="1" x14ac:dyDescent="0.3">
      <c r="A34"/>
      <c r="B34" s="1" t="s">
        <v>190</v>
      </c>
      <c r="C34" s="1">
        <v>20000</v>
      </c>
      <c r="E34" s="45"/>
      <c r="G34" s="8"/>
      <c r="K34"/>
      <c r="M34"/>
      <c r="P34"/>
    </row>
    <row r="35" spans="1:16" s="1" customFormat="1" x14ac:dyDescent="0.3">
      <c r="A35"/>
      <c r="B35" s="1" t="s">
        <v>135</v>
      </c>
      <c r="C35" s="8">
        <v>18000</v>
      </c>
      <c r="E35" s="45"/>
      <c r="G35" s="8"/>
      <c r="K35"/>
      <c r="M35"/>
      <c r="P35"/>
    </row>
    <row r="36" spans="1:16" s="1" customFormat="1" x14ac:dyDescent="0.3">
      <c r="B36" t="s">
        <v>55</v>
      </c>
      <c r="C36" s="8">
        <v>28500</v>
      </c>
      <c r="E36" s="45"/>
      <c r="G36" s="8"/>
      <c r="K36"/>
      <c r="M36"/>
      <c r="P36"/>
    </row>
    <row r="37" spans="1:16" s="1" customFormat="1" x14ac:dyDescent="0.3">
      <c r="A37"/>
      <c r="B37"/>
      <c r="C37" s="38">
        <f>SUM(C34:C36)</f>
        <v>66500</v>
      </c>
      <c r="E37" s="45"/>
      <c r="G37" s="8"/>
      <c r="K37"/>
      <c r="M37"/>
    </row>
    <row r="38" spans="1:16" s="1" customFormat="1" x14ac:dyDescent="0.3">
      <c r="B38"/>
      <c r="C38" s="38"/>
      <c r="E38" s="45"/>
      <c r="G38" s="8"/>
      <c r="K38"/>
      <c r="M38"/>
      <c r="P38"/>
    </row>
    <row r="39" spans="1:16" s="1" customFormat="1" x14ac:dyDescent="0.3">
      <c r="B39"/>
      <c r="E39" s="8"/>
      <c r="G39" s="8"/>
      <c r="K39"/>
      <c r="M39"/>
    </row>
    <row r="40" spans="1:16" s="1" customFormat="1" x14ac:dyDescent="0.3">
      <c r="B40"/>
      <c r="E40" s="8"/>
      <c r="G40" s="8"/>
      <c r="K40"/>
      <c r="M40"/>
    </row>
    <row r="41" spans="1:16" s="1" customFormat="1" x14ac:dyDescent="0.3">
      <c r="A41"/>
      <c r="B41"/>
      <c r="E41" s="8"/>
      <c r="G41" s="8"/>
      <c r="K41"/>
      <c r="M41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A2C1-6D49-429C-BC49-7AC96B3F1848}">
  <dimension ref="A1:P41"/>
  <sheetViews>
    <sheetView topLeftCell="A20" workbookViewId="0">
      <selection activeCell="C38" sqref="C38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6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1.5546875" style="1"/>
    <col min="13" max="13" width="21.88671875" customWidth="1"/>
    <col min="14" max="15" width="11.5546875" style="1"/>
  </cols>
  <sheetData>
    <row r="1" spans="2:14" x14ac:dyDescent="0.3">
      <c r="B1" s="2" t="s">
        <v>199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110000</v>
      </c>
      <c r="D2" s="8"/>
      <c r="H2" s="1" t="s">
        <v>169</v>
      </c>
      <c r="I2" s="1">
        <v>199760</v>
      </c>
      <c r="M2" s="1"/>
    </row>
    <row r="3" spans="2:14" x14ac:dyDescent="0.3">
      <c r="B3" t="s">
        <v>45</v>
      </c>
      <c r="C3" s="46">
        <f>I18</f>
        <v>22000</v>
      </c>
      <c r="D3" s="8"/>
      <c r="H3" s="1" t="s">
        <v>178</v>
      </c>
      <c r="I3" s="1">
        <f>258060/2</f>
        <v>129030</v>
      </c>
      <c r="M3" s="1"/>
    </row>
    <row r="4" spans="2:14" x14ac:dyDescent="0.3">
      <c r="B4" t="s">
        <v>16</v>
      </c>
      <c r="C4" s="46">
        <v>24415.439999999999</v>
      </c>
      <c r="D4" s="8"/>
      <c r="H4" s="1" t="s">
        <v>184</v>
      </c>
      <c r="M4" s="1"/>
    </row>
    <row r="5" spans="2:14" x14ac:dyDescent="0.3">
      <c r="B5" t="s">
        <v>16</v>
      </c>
      <c r="C5" s="8"/>
      <c r="D5" s="8"/>
      <c r="M5" s="1"/>
    </row>
    <row r="6" spans="2:14" x14ac:dyDescent="0.3">
      <c r="B6" t="s">
        <v>186</v>
      </c>
      <c r="C6" s="46">
        <v>1493.5</v>
      </c>
      <c r="D6" s="46">
        <v>7467.5</v>
      </c>
      <c r="I6" s="15">
        <f>SUM(I2:I5)</f>
        <v>328790</v>
      </c>
      <c r="L6" s="1">
        <v>39624</v>
      </c>
      <c r="M6" s="1">
        <v>38000</v>
      </c>
    </row>
    <row r="7" spans="2:14" x14ac:dyDescent="0.3">
      <c r="B7" s="33" t="s">
        <v>31</v>
      </c>
      <c r="D7" s="46">
        <v>10000</v>
      </c>
      <c r="H7" s="1" t="s">
        <v>90</v>
      </c>
      <c r="I7" s="35">
        <f>I6-C32-D32</f>
        <v>9141.2060000000056</v>
      </c>
      <c r="L7" s="1">
        <v>33384</v>
      </c>
      <c r="M7" s="1">
        <v>32000</v>
      </c>
    </row>
    <row r="8" spans="2:14" x14ac:dyDescent="0.3">
      <c r="B8" t="s">
        <v>8</v>
      </c>
      <c r="C8" s="8"/>
      <c r="F8" s="8"/>
      <c r="L8" s="1">
        <v>104208</v>
      </c>
      <c r="M8">
        <v>100000</v>
      </c>
    </row>
    <row r="9" spans="2:14" x14ac:dyDescent="0.3">
      <c r="B9" t="s">
        <v>32</v>
      </c>
      <c r="C9" s="8"/>
      <c r="L9" s="47">
        <f>SUM(L5:L8)</f>
        <v>177216</v>
      </c>
      <c r="M9" s="47">
        <f>SUM(M6:M8)</f>
        <v>170000</v>
      </c>
    </row>
    <row r="10" spans="2:14" x14ac:dyDescent="0.3">
      <c r="B10" t="s">
        <v>95</v>
      </c>
      <c r="C10" s="8"/>
      <c r="F10" s="8">
        <v>8526</v>
      </c>
      <c r="H10" t="s">
        <v>189</v>
      </c>
    </row>
    <row r="11" spans="2:14" x14ac:dyDescent="0.3">
      <c r="B11" t="s">
        <v>34</v>
      </c>
      <c r="C11" s="8"/>
      <c r="H11" t="s">
        <v>64</v>
      </c>
      <c r="I11" s="1">
        <v>4500</v>
      </c>
      <c r="M11" s="47">
        <f>L9-M9</f>
        <v>7216</v>
      </c>
    </row>
    <row r="12" spans="2:14" x14ac:dyDescent="0.3">
      <c r="B12" t="s">
        <v>48</v>
      </c>
      <c r="C12" s="8"/>
      <c r="H12" t="s">
        <v>66</v>
      </c>
      <c r="I12" s="1">
        <v>3000</v>
      </c>
      <c r="N12" s="1" t="s">
        <v>152</v>
      </c>
    </row>
    <row r="13" spans="2:14" x14ac:dyDescent="0.3">
      <c r="B13" t="s">
        <v>50</v>
      </c>
      <c r="C13" s="8"/>
      <c r="F13" s="29">
        <v>49247.8</v>
      </c>
      <c r="H13" t="s">
        <v>154</v>
      </c>
      <c r="I13" s="1">
        <v>1750</v>
      </c>
    </row>
    <row r="14" spans="2:14" x14ac:dyDescent="0.3">
      <c r="B14" t="s">
        <v>49</v>
      </c>
      <c r="C14" s="8"/>
      <c r="H14" t="s">
        <v>67</v>
      </c>
      <c r="I14" s="1">
        <v>1950</v>
      </c>
    </row>
    <row r="15" spans="2:14" x14ac:dyDescent="0.3">
      <c r="B15" t="s">
        <v>54</v>
      </c>
      <c r="C15" s="8"/>
      <c r="H15" s="1" t="s">
        <v>182</v>
      </c>
      <c r="I15" s="1">
        <v>2800</v>
      </c>
    </row>
    <row r="16" spans="2:14" x14ac:dyDescent="0.3">
      <c r="B16" t="s">
        <v>180</v>
      </c>
      <c r="C16" s="8"/>
      <c r="D16" s="8"/>
      <c r="H16" t="s">
        <v>22</v>
      </c>
      <c r="I16" s="1">
        <v>4000</v>
      </c>
    </row>
    <row r="17" spans="1:16" x14ac:dyDescent="0.3">
      <c r="B17" t="s">
        <v>105</v>
      </c>
      <c r="C17" s="46">
        <f>(C2+C3+C28+C29)*0.042</f>
        <v>6822.9840000000004</v>
      </c>
      <c r="D17" s="8">
        <f>(D2+D3)*0.042</f>
        <v>0</v>
      </c>
      <c r="F17" s="8"/>
      <c r="H17" t="s">
        <v>135</v>
      </c>
      <c r="I17" s="1">
        <v>4000</v>
      </c>
    </row>
    <row r="18" spans="1:16" x14ac:dyDescent="0.3">
      <c r="B18" t="s">
        <v>55</v>
      </c>
      <c r="C18" s="8"/>
      <c r="D18" s="46">
        <v>28500</v>
      </c>
      <c r="H18"/>
      <c r="I18" s="3">
        <f>SUM(I10:I17)</f>
        <v>22000</v>
      </c>
    </row>
    <row r="19" spans="1:16" x14ac:dyDescent="0.3">
      <c r="A19" s="1"/>
      <c r="B19" t="s">
        <v>170</v>
      </c>
      <c r="C19" s="8"/>
      <c r="H19"/>
    </row>
    <row r="20" spans="1:16" s="1" customFormat="1" x14ac:dyDescent="0.3">
      <c r="B20" s="1" t="s">
        <v>192</v>
      </c>
      <c r="C20" s="8"/>
      <c r="D20" s="46">
        <v>15370</v>
      </c>
      <c r="E20" s="8"/>
      <c r="G20" s="8"/>
      <c r="H20"/>
      <c r="K20"/>
      <c r="M20"/>
      <c r="P20"/>
    </row>
    <row r="21" spans="1:16" s="1" customFormat="1" x14ac:dyDescent="0.3">
      <c r="B21" s="1" t="s">
        <v>165</v>
      </c>
      <c r="D21" s="46">
        <v>28477.37</v>
      </c>
      <c r="E21" s="8"/>
      <c r="G21" s="8"/>
      <c r="H21"/>
      <c r="K21"/>
      <c r="M21"/>
      <c r="P21"/>
    </row>
    <row r="22" spans="1:16" s="1" customFormat="1" x14ac:dyDescent="0.3">
      <c r="B22" s="1" t="s">
        <v>109</v>
      </c>
      <c r="C22" s="8"/>
      <c r="E22" s="8"/>
      <c r="G22" s="8"/>
      <c r="H22"/>
      <c r="K22"/>
      <c r="L22" s="1">
        <f>32*25</f>
        <v>800</v>
      </c>
      <c r="M22"/>
      <c r="P22"/>
    </row>
    <row r="23" spans="1:16" s="1" customFormat="1" x14ac:dyDescent="0.3">
      <c r="B23" s="8" t="s">
        <v>126</v>
      </c>
      <c r="C23" s="8"/>
      <c r="E23" s="8"/>
      <c r="G23" s="23"/>
      <c r="H23"/>
      <c r="K23"/>
      <c r="L23" s="1">
        <f>4000/L22</f>
        <v>5</v>
      </c>
      <c r="M23"/>
      <c r="P23"/>
    </row>
    <row r="24" spans="1:16" s="1" customFormat="1" x14ac:dyDescent="0.3">
      <c r="B24" s="1" t="s">
        <v>1</v>
      </c>
      <c r="D24" s="1">
        <v>25000</v>
      </c>
      <c r="E24" s="8"/>
      <c r="F24" s="16">
        <v>30000</v>
      </c>
      <c r="G24" s="23"/>
      <c r="H24"/>
      <c r="K24"/>
      <c r="M24"/>
      <c r="P24"/>
    </row>
    <row r="25" spans="1:16" s="1" customFormat="1" x14ac:dyDescent="0.3">
      <c r="B25" s="1" t="s">
        <v>138</v>
      </c>
      <c r="C25" s="8"/>
      <c r="E25" s="8"/>
      <c r="F25" s="1">
        <f>47000-D25</f>
        <v>47000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156</v>
      </c>
      <c r="D26" s="1">
        <f>1450*5</f>
        <v>7250</v>
      </c>
      <c r="E26" s="8"/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155</v>
      </c>
      <c r="E27" s="8"/>
      <c r="G27" s="23"/>
      <c r="K27"/>
      <c r="M27"/>
      <c r="P27"/>
    </row>
    <row r="28" spans="1:16" s="1" customFormat="1" x14ac:dyDescent="0.3">
      <c r="B28" s="1" t="s">
        <v>190</v>
      </c>
      <c r="C28" s="46">
        <v>20000</v>
      </c>
      <c r="D28" s="8"/>
      <c r="E28" s="8"/>
      <c r="G28" s="23"/>
      <c r="K28"/>
      <c r="M28"/>
      <c r="P28"/>
    </row>
    <row r="29" spans="1:16" s="1" customFormat="1" x14ac:dyDescent="0.3">
      <c r="B29" s="1" t="s">
        <v>135</v>
      </c>
      <c r="C29" s="46">
        <v>10452</v>
      </c>
      <c r="D29" s="8"/>
      <c r="E29" s="8"/>
      <c r="G29" s="23"/>
      <c r="K29"/>
      <c r="M29"/>
      <c r="P29"/>
    </row>
    <row r="30" spans="1:16" s="1" customFormat="1" x14ac:dyDescent="0.3">
      <c r="B30" s="1" t="s">
        <v>22</v>
      </c>
      <c r="D30" s="8"/>
      <c r="E30" s="8">
        <f>C30</f>
        <v>0</v>
      </c>
      <c r="G30" s="23"/>
      <c r="K30"/>
      <c r="M30"/>
      <c r="P30"/>
    </row>
    <row r="31" spans="1:16" s="1" customFormat="1" x14ac:dyDescent="0.3">
      <c r="B31" s="1" t="s">
        <v>191</v>
      </c>
      <c r="C31" s="46">
        <v>2400</v>
      </c>
      <c r="D31" s="8"/>
      <c r="E31" s="8"/>
      <c r="G31" s="23"/>
      <c r="K31"/>
      <c r="M31"/>
      <c r="P31"/>
    </row>
    <row r="32" spans="1:16" x14ac:dyDescent="0.3">
      <c r="C32" s="15">
        <f>SUM(C2:C31)</f>
        <v>197583.924</v>
      </c>
      <c r="D32" s="34">
        <f>SUM(D2:D31)</f>
        <v>122064.87</v>
      </c>
      <c r="E32" s="23">
        <f>SUM(E2:E30)</f>
        <v>0</v>
      </c>
      <c r="F32" s="15">
        <f>SUM(F2:F28)</f>
        <v>134773.79999999999</v>
      </c>
    </row>
    <row r="33" spans="1:16" x14ac:dyDescent="0.3">
      <c r="C33" s="38"/>
      <c r="E33" s="45"/>
    </row>
    <row r="34" spans="1:16" s="1" customFormat="1" x14ac:dyDescent="0.3">
      <c r="A34"/>
      <c r="B34"/>
      <c r="C34" s="38"/>
      <c r="E34" s="45"/>
      <c r="G34" s="8"/>
      <c r="K34"/>
      <c r="M34"/>
      <c r="P34"/>
    </row>
    <row r="35" spans="1:16" s="1" customFormat="1" x14ac:dyDescent="0.3">
      <c r="A35"/>
      <c r="B35" s="1" t="s">
        <v>190</v>
      </c>
      <c r="C35" s="1">
        <v>20000</v>
      </c>
      <c r="E35" s="45"/>
      <c r="G35" s="8"/>
      <c r="K35"/>
      <c r="M35"/>
      <c r="P35"/>
    </row>
    <row r="36" spans="1:16" s="1" customFormat="1" x14ac:dyDescent="0.3">
      <c r="A36"/>
      <c r="B36" s="1" t="s">
        <v>135</v>
      </c>
      <c r="C36" s="8">
        <v>18000</v>
      </c>
      <c r="E36" s="45"/>
      <c r="G36" s="8"/>
      <c r="K36"/>
      <c r="M36"/>
      <c r="P36"/>
    </row>
    <row r="37" spans="1:16" s="1" customFormat="1" x14ac:dyDescent="0.3">
      <c r="B37" t="s">
        <v>55</v>
      </c>
      <c r="C37" s="8">
        <v>28500</v>
      </c>
      <c r="E37" s="45"/>
      <c r="G37" s="8"/>
      <c r="K37"/>
      <c r="M37"/>
    </row>
    <row r="38" spans="1:16" s="1" customFormat="1" x14ac:dyDescent="0.3">
      <c r="A38"/>
      <c r="B38"/>
      <c r="C38" s="38">
        <f>SUM(C35:C37)</f>
        <v>66500</v>
      </c>
      <c r="E38" s="45"/>
      <c r="G38" s="8"/>
      <c r="K38"/>
      <c r="M38"/>
      <c r="P38"/>
    </row>
    <row r="39" spans="1:16" s="1" customFormat="1" x14ac:dyDescent="0.3">
      <c r="B39"/>
      <c r="C39" s="38"/>
      <c r="E39" s="45"/>
      <c r="G39" s="8"/>
      <c r="K39"/>
      <c r="M39"/>
    </row>
    <row r="40" spans="1:16" s="1" customFormat="1" x14ac:dyDescent="0.3">
      <c r="B40"/>
      <c r="E40" s="8"/>
      <c r="G40" s="8"/>
      <c r="K40"/>
      <c r="M40"/>
    </row>
    <row r="41" spans="1:16" s="1" customFormat="1" x14ac:dyDescent="0.3">
      <c r="B41"/>
      <c r="E41" s="8"/>
      <c r="G41" s="8"/>
      <c r="K41"/>
      <c r="M4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A5BB-91A3-4473-81DE-E4AB7A8F1922}">
  <dimension ref="A1:P40"/>
  <sheetViews>
    <sheetView workbookViewId="0">
      <selection activeCell="I20" sqref="I20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2.6640625" style="8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1.5546875" style="1"/>
    <col min="13" max="13" width="21.88671875" customWidth="1"/>
    <col min="14" max="15" width="11.5546875" style="1"/>
  </cols>
  <sheetData>
    <row r="1" spans="2:14" x14ac:dyDescent="0.3">
      <c r="B1" s="2" t="s">
        <v>183</v>
      </c>
      <c r="C1" s="30" t="s">
        <v>93</v>
      </c>
      <c r="D1" s="30" t="s">
        <v>94</v>
      </c>
      <c r="E1" s="44"/>
      <c r="H1" s="3" t="s">
        <v>96</v>
      </c>
      <c r="K1" s="3"/>
      <c r="M1" s="1"/>
    </row>
    <row r="2" spans="2:14" x14ac:dyDescent="0.3">
      <c r="B2" t="s">
        <v>44</v>
      </c>
      <c r="C2" s="46">
        <v>110000</v>
      </c>
      <c r="E2" s="8">
        <v>70000</v>
      </c>
      <c r="H2" s="1" t="s">
        <v>169</v>
      </c>
      <c r="I2" s="1">
        <v>199760</v>
      </c>
      <c r="M2" s="1"/>
    </row>
    <row r="3" spans="2:14" x14ac:dyDescent="0.3">
      <c r="B3" t="s">
        <v>45</v>
      </c>
      <c r="C3" s="46">
        <f>I18</f>
        <v>19950</v>
      </c>
      <c r="D3" s="8"/>
      <c r="H3" s="1" t="s">
        <v>178</v>
      </c>
      <c r="I3" s="1">
        <f>258060/2</f>
        <v>129030</v>
      </c>
      <c r="M3" s="1"/>
    </row>
    <row r="4" spans="2:14" x14ac:dyDescent="0.3">
      <c r="B4" t="s">
        <v>16</v>
      </c>
      <c r="C4" s="46">
        <v>30000</v>
      </c>
      <c r="D4" s="46">
        <v>45000</v>
      </c>
      <c r="H4" s="1" t="s">
        <v>184</v>
      </c>
      <c r="M4" s="1"/>
    </row>
    <row r="5" spans="2:14" x14ac:dyDescent="0.3">
      <c r="B5" t="s">
        <v>16</v>
      </c>
      <c r="C5" s="8"/>
      <c r="D5" s="8"/>
      <c r="M5" s="1"/>
    </row>
    <row r="6" spans="2:14" x14ac:dyDescent="0.3">
      <c r="B6" t="s">
        <v>186</v>
      </c>
      <c r="D6" s="46">
        <f>7467.5+1493.5</f>
        <v>8961</v>
      </c>
      <c r="I6" s="15">
        <f>SUM(I2:I5)</f>
        <v>328790</v>
      </c>
      <c r="M6" s="1"/>
    </row>
    <row r="7" spans="2:14" x14ac:dyDescent="0.3">
      <c r="B7" s="33" t="s">
        <v>31</v>
      </c>
      <c r="E7" s="8">
        <v>10000</v>
      </c>
      <c r="H7" s="1" t="s">
        <v>90</v>
      </c>
      <c r="I7" s="35">
        <f>I6-C31-D31</f>
        <v>44174.999999999985</v>
      </c>
      <c r="M7" s="1"/>
    </row>
    <row r="8" spans="2:14" x14ac:dyDescent="0.3">
      <c r="B8" t="s">
        <v>8</v>
      </c>
      <c r="C8" s="8"/>
      <c r="F8" s="8"/>
      <c r="M8">
        <f>9*60*13.6</f>
        <v>7344</v>
      </c>
    </row>
    <row r="9" spans="2:14" x14ac:dyDescent="0.3">
      <c r="B9" t="s">
        <v>32</v>
      </c>
      <c r="C9" s="8"/>
      <c r="M9">
        <f>M8/150</f>
        <v>48.96</v>
      </c>
    </row>
    <row r="10" spans="2:14" x14ac:dyDescent="0.3">
      <c r="B10" t="s">
        <v>95</v>
      </c>
      <c r="C10" s="8"/>
      <c r="F10" s="8">
        <v>8526</v>
      </c>
      <c r="H10" t="s">
        <v>88</v>
      </c>
      <c r="I10" s="1">
        <v>4000</v>
      </c>
    </row>
    <row r="11" spans="2:14" x14ac:dyDescent="0.3">
      <c r="B11" t="s">
        <v>34</v>
      </c>
      <c r="C11" s="8"/>
      <c r="H11" t="s">
        <v>64</v>
      </c>
      <c r="I11" s="1">
        <v>4000</v>
      </c>
      <c r="J11" s="1" t="s">
        <v>185</v>
      </c>
    </row>
    <row r="12" spans="2:14" x14ac:dyDescent="0.3">
      <c r="B12" t="s">
        <v>48</v>
      </c>
      <c r="C12" s="8"/>
      <c r="H12" t="s">
        <v>66</v>
      </c>
      <c r="I12" s="1">
        <v>3000</v>
      </c>
      <c r="N12" s="1" t="s">
        <v>152</v>
      </c>
    </row>
    <row r="13" spans="2:14" x14ac:dyDescent="0.3">
      <c r="B13" t="s">
        <v>50</v>
      </c>
      <c r="C13" s="8"/>
      <c r="F13" s="29">
        <v>49247.8</v>
      </c>
      <c r="H13" t="s">
        <v>154</v>
      </c>
    </row>
    <row r="14" spans="2:14" x14ac:dyDescent="0.3">
      <c r="B14" t="s">
        <v>49</v>
      </c>
      <c r="C14" s="46">
        <f>2262+4549.7</f>
        <v>6811.7</v>
      </c>
      <c r="H14" t="s">
        <v>67</v>
      </c>
      <c r="I14" s="1">
        <v>1950</v>
      </c>
    </row>
    <row r="15" spans="2:14" x14ac:dyDescent="0.3">
      <c r="B15" t="s">
        <v>54</v>
      </c>
      <c r="C15" s="8"/>
      <c r="H15" s="1" t="s">
        <v>182</v>
      </c>
      <c r="I15" s="1">
        <v>1400</v>
      </c>
    </row>
    <row r="16" spans="2:14" x14ac:dyDescent="0.3">
      <c r="B16" t="s">
        <v>180</v>
      </c>
      <c r="C16" s="8"/>
      <c r="D16" s="8"/>
      <c r="H16" t="s">
        <v>22</v>
      </c>
      <c r="I16" s="1">
        <v>2800</v>
      </c>
    </row>
    <row r="17" spans="1:16" x14ac:dyDescent="0.3">
      <c r="B17" t="s">
        <v>105</v>
      </c>
      <c r="C17" s="46">
        <f>(C2+C3)*0.042</f>
        <v>5457.9000000000005</v>
      </c>
      <c r="D17" s="46">
        <f>(D2+D3)*0.042</f>
        <v>0</v>
      </c>
      <c r="F17" s="8"/>
      <c r="H17" t="s">
        <v>135</v>
      </c>
      <c r="I17" s="1">
        <v>2800</v>
      </c>
    </row>
    <row r="18" spans="1:16" x14ac:dyDescent="0.3">
      <c r="B18" t="s">
        <v>55</v>
      </c>
      <c r="C18" s="8"/>
      <c r="E18" s="8">
        <v>28500</v>
      </c>
      <c r="H18"/>
      <c r="I18" s="3">
        <f>SUM(I10:I17)</f>
        <v>19950</v>
      </c>
    </row>
    <row r="19" spans="1:16" x14ac:dyDescent="0.3">
      <c r="A19" s="1"/>
      <c r="B19" t="s">
        <v>170</v>
      </c>
      <c r="C19" s="8"/>
      <c r="H19"/>
    </row>
    <row r="20" spans="1:16" s="1" customFormat="1" x14ac:dyDescent="0.3">
      <c r="B20" s="1" t="s">
        <v>106</v>
      </c>
      <c r="C20" s="8"/>
      <c r="E20" s="8"/>
      <c r="G20" s="8"/>
      <c r="H20"/>
      <c r="K20"/>
      <c r="M20"/>
      <c r="P20"/>
    </row>
    <row r="21" spans="1:16" s="1" customFormat="1" x14ac:dyDescent="0.3">
      <c r="B21" s="1" t="s">
        <v>165</v>
      </c>
      <c r="C21" s="46">
        <v>20000</v>
      </c>
      <c r="E21" s="1">
        <v>28477.37</v>
      </c>
      <c r="G21" s="8"/>
      <c r="H21"/>
      <c r="K21"/>
      <c r="M21"/>
      <c r="P21"/>
    </row>
    <row r="22" spans="1:16" s="1" customFormat="1" x14ac:dyDescent="0.3">
      <c r="B22" s="1" t="s">
        <v>109</v>
      </c>
      <c r="C22" s="8"/>
      <c r="E22" s="8"/>
      <c r="G22" s="8"/>
      <c r="H22"/>
      <c r="K22"/>
      <c r="L22" s="1">
        <f>32*25</f>
        <v>800</v>
      </c>
      <c r="M22"/>
      <c r="P22"/>
    </row>
    <row r="23" spans="1:16" s="1" customFormat="1" x14ac:dyDescent="0.3">
      <c r="B23" s="8" t="s">
        <v>126</v>
      </c>
      <c r="C23" s="8"/>
      <c r="E23" s="8"/>
      <c r="G23" s="23"/>
      <c r="H23"/>
      <c r="K23"/>
      <c r="L23" s="1">
        <f>4000/L22</f>
        <v>5</v>
      </c>
      <c r="M23"/>
      <c r="P23"/>
    </row>
    <row r="24" spans="1:16" s="1" customFormat="1" x14ac:dyDescent="0.3">
      <c r="B24" s="1" t="s">
        <v>1</v>
      </c>
      <c r="E24" s="1">
        <v>25000</v>
      </c>
      <c r="F24" s="16">
        <v>30000</v>
      </c>
      <c r="G24" s="23"/>
      <c r="H24"/>
      <c r="K24"/>
      <c r="M24"/>
      <c r="P24"/>
    </row>
    <row r="25" spans="1:16" s="1" customFormat="1" x14ac:dyDescent="0.3">
      <c r="B25" s="1" t="s">
        <v>138</v>
      </c>
      <c r="C25" s="8"/>
      <c r="E25" s="8"/>
      <c r="F25" s="1">
        <f>47000-D25</f>
        <v>47000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156</v>
      </c>
      <c r="E26" s="1">
        <f>1450*5</f>
        <v>7250</v>
      </c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155</v>
      </c>
      <c r="C27" s="46">
        <v>1896.6</v>
      </c>
      <c r="D27" s="46">
        <v>15549.8</v>
      </c>
      <c r="E27" s="8"/>
      <c r="G27" s="23"/>
      <c r="K27"/>
      <c r="M27"/>
      <c r="P27"/>
    </row>
    <row r="28" spans="1:16" s="1" customFormat="1" x14ac:dyDescent="0.3">
      <c r="B28" s="1" t="s">
        <v>188</v>
      </c>
      <c r="C28" s="46">
        <v>8120</v>
      </c>
      <c r="D28" s="8"/>
      <c r="E28" s="8"/>
      <c r="G28" s="23"/>
      <c r="K28"/>
      <c r="M28"/>
      <c r="P28"/>
    </row>
    <row r="29" spans="1:16" s="1" customFormat="1" x14ac:dyDescent="0.3">
      <c r="B29" s="1" t="s">
        <v>135</v>
      </c>
      <c r="C29" s="46">
        <v>10000</v>
      </c>
      <c r="D29" s="8"/>
      <c r="E29" s="8"/>
      <c r="G29" s="23"/>
      <c r="K29"/>
      <c r="M29"/>
      <c r="P29"/>
    </row>
    <row r="30" spans="1:16" s="1" customFormat="1" x14ac:dyDescent="0.3">
      <c r="B30" s="1" t="s">
        <v>187</v>
      </c>
      <c r="C30" s="46">
        <v>2868</v>
      </c>
      <c r="D30" s="8"/>
      <c r="E30" s="8">
        <f>C30</f>
        <v>2868</v>
      </c>
      <c r="G30" s="23"/>
      <c r="K30"/>
      <c r="M30"/>
      <c r="P30"/>
    </row>
    <row r="31" spans="1:16" x14ac:dyDescent="0.3">
      <c r="C31" s="15">
        <f>SUM(C2:C30)</f>
        <v>215104.2</v>
      </c>
      <c r="D31" s="34">
        <f>SUM(D2:D28)</f>
        <v>69510.8</v>
      </c>
      <c r="E31" s="23">
        <f>SUM(E2:E30)</f>
        <v>172095.37</v>
      </c>
      <c r="F31" s="15">
        <f>SUM(F2:F28)</f>
        <v>134773.79999999999</v>
      </c>
    </row>
    <row r="32" spans="1:16" x14ac:dyDescent="0.3">
      <c r="C32" s="38"/>
      <c r="E32" s="45"/>
    </row>
    <row r="33" spans="1:16" s="1" customFormat="1" x14ac:dyDescent="0.3">
      <c r="A33"/>
      <c r="B33"/>
      <c r="C33" s="38"/>
      <c r="E33" s="45"/>
      <c r="G33" s="8"/>
      <c r="K33"/>
      <c r="M33"/>
      <c r="P33"/>
    </row>
    <row r="34" spans="1:16" s="1" customFormat="1" x14ac:dyDescent="0.3">
      <c r="A34"/>
      <c r="B34"/>
      <c r="C34" s="38"/>
      <c r="E34" s="45"/>
      <c r="G34" s="8"/>
      <c r="K34"/>
      <c r="M34"/>
      <c r="P34"/>
    </row>
    <row r="35" spans="1:16" s="1" customFormat="1" x14ac:dyDescent="0.3">
      <c r="A35"/>
      <c r="B35"/>
      <c r="C35" s="38"/>
      <c r="E35" s="45"/>
      <c r="G35" s="8"/>
      <c r="K35"/>
      <c r="M35"/>
      <c r="P35"/>
    </row>
    <row r="36" spans="1:16" s="1" customFormat="1" x14ac:dyDescent="0.3">
      <c r="B36"/>
      <c r="C36" s="38"/>
      <c r="E36" s="45"/>
      <c r="G36" s="8"/>
      <c r="K36"/>
      <c r="M36"/>
    </row>
    <row r="37" spans="1:16" s="1" customFormat="1" x14ac:dyDescent="0.3">
      <c r="A37"/>
      <c r="B37"/>
      <c r="C37" s="38"/>
      <c r="E37" s="45"/>
      <c r="G37" s="8"/>
      <c r="K37"/>
      <c r="M37"/>
      <c r="P37"/>
    </row>
    <row r="38" spans="1:16" s="1" customFormat="1" x14ac:dyDescent="0.3">
      <c r="B38"/>
      <c r="C38" s="38"/>
      <c r="E38" s="45"/>
      <c r="G38" s="8"/>
      <c r="K38"/>
      <c r="M38"/>
    </row>
    <row r="39" spans="1:16" s="1" customFormat="1" x14ac:dyDescent="0.3">
      <c r="B39"/>
      <c r="E39" s="8"/>
      <c r="G39" s="8"/>
      <c r="K39"/>
      <c r="M39"/>
    </row>
    <row r="40" spans="1:16" s="1" customFormat="1" x14ac:dyDescent="0.3">
      <c r="B40"/>
      <c r="E40" s="8"/>
      <c r="G40" s="8"/>
      <c r="K40"/>
      <c r="M4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876F-EF40-4DA2-A31C-BBD5E34F37E2}">
  <dimension ref="A1:P41"/>
  <sheetViews>
    <sheetView workbookViewId="0">
      <selection activeCell="M9" sqref="M9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7.109375" style="8" customWidth="1"/>
    <col min="5" max="5" width="14.6640625" style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1.5546875" style="1"/>
    <col min="13" max="13" width="21.88671875" customWidth="1"/>
    <col min="14" max="15" width="11.5546875" style="1"/>
  </cols>
  <sheetData>
    <row r="1" spans="2:14" x14ac:dyDescent="0.3">
      <c r="B1" s="2" t="s">
        <v>181</v>
      </c>
      <c r="C1" s="30" t="s">
        <v>93</v>
      </c>
      <c r="D1" s="44"/>
      <c r="E1" s="30" t="s">
        <v>94</v>
      </c>
      <c r="H1" s="3" t="s">
        <v>96</v>
      </c>
      <c r="K1" s="3"/>
      <c r="M1" s="1"/>
    </row>
    <row r="2" spans="2:14" x14ac:dyDescent="0.3">
      <c r="B2" t="s">
        <v>44</v>
      </c>
      <c r="C2" s="16">
        <v>100000</v>
      </c>
      <c r="E2" s="8"/>
      <c r="H2" s="1" t="s">
        <v>178</v>
      </c>
      <c r="M2" s="1"/>
    </row>
    <row r="3" spans="2:14" x14ac:dyDescent="0.3">
      <c r="B3" t="s">
        <v>45</v>
      </c>
      <c r="C3" s="16">
        <f>I18</f>
        <v>21800</v>
      </c>
      <c r="E3" s="8"/>
      <c r="H3" s="1" t="s">
        <v>179</v>
      </c>
      <c r="I3" s="1">
        <v>39100</v>
      </c>
      <c r="M3" s="1"/>
    </row>
    <row r="4" spans="2:14" x14ac:dyDescent="0.3">
      <c r="B4" t="s">
        <v>16</v>
      </c>
      <c r="C4" s="16">
        <v>30000</v>
      </c>
      <c r="D4" s="8">
        <f>C4</f>
        <v>30000</v>
      </c>
      <c r="E4" s="8"/>
      <c r="H4" s="1" t="s">
        <v>169</v>
      </c>
      <c r="I4" s="1">
        <v>188000</v>
      </c>
      <c r="M4" s="1"/>
    </row>
    <row r="5" spans="2:14" x14ac:dyDescent="0.3">
      <c r="B5" t="s">
        <v>16</v>
      </c>
      <c r="E5" s="8"/>
      <c r="M5" s="1"/>
    </row>
    <row r="6" spans="2:14" x14ac:dyDescent="0.3">
      <c r="B6" t="s">
        <v>71</v>
      </c>
      <c r="I6" s="15">
        <f>SUM(I2:I5)</f>
        <v>227100</v>
      </c>
      <c r="M6" s="1"/>
    </row>
    <row r="7" spans="2:14" x14ac:dyDescent="0.3">
      <c r="B7" s="33" t="s">
        <v>31</v>
      </c>
      <c r="C7" s="16">
        <v>10000</v>
      </c>
      <c r="D7" s="8">
        <f>C7</f>
        <v>10000</v>
      </c>
      <c r="H7" s="1" t="s">
        <v>90</v>
      </c>
      <c r="I7" s="35">
        <f>I6-C32-E32</f>
        <v>-36867.600000000006</v>
      </c>
      <c r="M7" s="1"/>
    </row>
    <row r="8" spans="2:14" x14ac:dyDescent="0.3">
      <c r="B8" t="s">
        <v>8</v>
      </c>
      <c r="F8" s="8"/>
      <c r="M8">
        <f>9*60*13.6</f>
        <v>7344</v>
      </c>
    </row>
    <row r="9" spans="2:14" x14ac:dyDescent="0.3">
      <c r="B9" t="s">
        <v>32</v>
      </c>
      <c r="M9">
        <f>M8/150</f>
        <v>48.96</v>
      </c>
    </row>
    <row r="10" spans="2:14" x14ac:dyDescent="0.3">
      <c r="B10" t="s">
        <v>95</v>
      </c>
      <c r="F10" s="8">
        <v>8526</v>
      </c>
      <c r="H10" t="s">
        <v>88</v>
      </c>
      <c r="I10" s="1">
        <v>4000</v>
      </c>
    </row>
    <row r="11" spans="2:14" x14ac:dyDescent="0.3">
      <c r="B11" t="s">
        <v>34</v>
      </c>
      <c r="H11" t="s">
        <v>64</v>
      </c>
      <c r="I11" s="1">
        <v>4500</v>
      </c>
    </row>
    <row r="12" spans="2:14" x14ac:dyDescent="0.3">
      <c r="B12" t="s">
        <v>48</v>
      </c>
      <c r="H12" t="s">
        <v>66</v>
      </c>
      <c r="I12" s="1">
        <v>3500</v>
      </c>
      <c r="N12" s="1" t="s">
        <v>152</v>
      </c>
    </row>
    <row r="13" spans="2:14" x14ac:dyDescent="0.3">
      <c r="B13" t="s">
        <v>50</v>
      </c>
      <c r="F13" s="29">
        <v>49247.8</v>
      </c>
      <c r="H13" t="s">
        <v>154</v>
      </c>
    </row>
    <row r="14" spans="2:14" x14ac:dyDescent="0.3">
      <c r="B14" t="s">
        <v>49</v>
      </c>
      <c r="C14" s="16">
        <v>10000</v>
      </c>
      <c r="H14" t="s">
        <v>67</v>
      </c>
      <c r="I14" s="1">
        <v>1950</v>
      </c>
    </row>
    <row r="15" spans="2:14" x14ac:dyDescent="0.3">
      <c r="B15" t="s">
        <v>54</v>
      </c>
      <c r="H15" s="1" t="s">
        <v>182</v>
      </c>
      <c r="I15" s="1">
        <v>1850</v>
      </c>
    </row>
    <row r="16" spans="2:14" x14ac:dyDescent="0.3">
      <c r="B16" t="s">
        <v>180</v>
      </c>
      <c r="E16" s="8"/>
      <c r="H16" t="s">
        <v>22</v>
      </c>
      <c r="I16" s="1">
        <v>3000</v>
      </c>
    </row>
    <row r="17" spans="1:16" x14ac:dyDescent="0.3">
      <c r="B17" t="s">
        <v>105</v>
      </c>
      <c r="C17" s="16">
        <f>(C2+C3)*0.042</f>
        <v>5115.6000000000004</v>
      </c>
      <c r="F17" s="8"/>
      <c r="H17" t="s">
        <v>135</v>
      </c>
      <c r="I17" s="1">
        <v>3000</v>
      </c>
    </row>
    <row r="18" spans="1:16" x14ac:dyDescent="0.3">
      <c r="B18" t="s">
        <v>55</v>
      </c>
      <c r="H18"/>
      <c r="I18" s="3">
        <f>SUM(I10:I17)</f>
        <v>21800</v>
      </c>
    </row>
    <row r="19" spans="1:16" x14ac:dyDescent="0.3">
      <c r="A19" s="1"/>
      <c r="B19" t="s">
        <v>170</v>
      </c>
      <c r="H19"/>
    </row>
    <row r="20" spans="1:16" s="1" customFormat="1" x14ac:dyDescent="0.3">
      <c r="B20" s="1" t="s">
        <v>106</v>
      </c>
      <c r="D20" s="8"/>
      <c r="G20" s="8"/>
      <c r="H20"/>
      <c r="K20"/>
      <c r="M20"/>
      <c r="P20"/>
    </row>
    <row r="21" spans="1:16" s="1" customFormat="1" x14ac:dyDescent="0.3">
      <c r="B21" s="1" t="s">
        <v>165</v>
      </c>
      <c r="D21" s="8"/>
      <c r="E21" s="8">
        <f>3500*12</f>
        <v>42000</v>
      </c>
      <c r="G21" s="8"/>
      <c r="H21"/>
      <c r="K21"/>
      <c r="M21"/>
      <c r="P21"/>
    </row>
    <row r="22" spans="1:16" s="1" customFormat="1" x14ac:dyDescent="0.3">
      <c r="B22" s="1" t="s">
        <v>109</v>
      </c>
      <c r="C22" s="8"/>
      <c r="D22" s="8"/>
      <c r="G22" s="8"/>
      <c r="H22"/>
      <c r="K22"/>
      <c r="L22" s="1">
        <f>32*25</f>
        <v>800</v>
      </c>
      <c r="M22"/>
      <c r="P22"/>
    </row>
    <row r="23" spans="1:16" s="1" customFormat="1" x14ac:dyDescent="0.3">
      <c r="B23" s="8" t="s">
        <v>126</v>
      </c>
      <c r="C23" s="8"/>
      <c r="D23" s="8"/>
      <c r="G23" s="23"/>
      <c r="H23"/>
      <c r="K23"/>
      <c r="L23" s="1">
        <f>4000/L22</f>
        <v>5</v>
      </c>
      <c r="M23"/>
      <c r="P23"/>
    </row>
    <row r="24" spans="1:16" s="1" customFormat="1" x14ac:dyDescent="0.3">
      <c r="B24" s="1" t="s">
        <v>1</v>
      </c>
      <c r="D24" s="8"/>
      <c r="E24" s="1">
        <v>15000</v>
      </c>
      <c r="F24" s="16">
        <v>30000</v>
      </c>
      <c r="G24" s="23"/>
      <c r="H24"/>
      <c r="K24"/>
      <c r="M24"/>
      <c r="P24"/>
    </row>
    <row r="25" spans="1:16" s="1" customFormat="1" x14ac:dyDescent="0.3">
      <c r="B25" s="1" t="s">
        <v>138</v>
      </c>
      <c r="C25" s="8"/>
      <c r="D25" s="8"/>
      <c r="F25" s="1">
        <f>47000-E25</f>
        <v>47000</v>
      </c>
      <c r="G25" s="23"/>
      <c r="H25">
        <f>1600/15</f>
        <v>106.66666666666667</v>
      </c>
      <c r="I25" s="3"/>
      <c r="K25"/>
      <c r="M25"/>
      <c r="P25"/>
    </row>
    <row r="26" spans="1:16" s="1" customFormat="1" x14ac:dyDescent="0.3">
      <c r="B26" s="1" t="s">
        <v>156</v>
      </c>
      <c r="C26" s="1">
        <f>1450*5</f>
        <v>7250</v>
      </c>
      <c r="D26" s="8"/>
      <c r="G26" s="23"/>
      <c r="H26" s="1">
        <f>H25/30</f>
        <v>3.5555555555555558</v>
      </c>
      <c r="K26"/>
      <c r="M26"/>
      <c r="P26"/>
    </row>
    <row r="27" spans="1:16" s="1" customFormat="1" x14ac:dyDescent="0.3">
      <c r="B27" s="1" t="s">
        <v>155</v>
      </c>
      <c r="C27" s="8">
        <f>16.9*1.16*500</f>
        <v>9801.9999999999982</v>
      </c>
      <c r="D27" s="8"/>
      <c r="G27" s="23"/>
      <c r="K27"/>
      <c r="M27"/>
      <c r="P27"/>
    </row>
    <row r="28" spans="1:16" s="1" customFormat="1" x14ac:dyDescent="0.3">
      <c r="B28" s="1" t="s">
        <v>176</v>
      </c>
      <c r="D28" s="8"/>
      <c r="F28" s="1">
        <v>15000</v>
      </c>
      <c r="G28" s="23"/>
      <c r="K28"/>
      <c r="M28"/>
      <c r="P28"/>
    </row>
    <row r="29" spans="1:16" s="1" customFormat="1" x14ac:dyDescent="0.3">
      <c r="B29" s="1" t="s">
        <v>177</v>
      </c>
      <c r="D29" s="8"/>
      <c r="E29" s="8"/>
      <c r="G29" s="23"/>
      <c r="K29"/>
      <c r="M29"/>
      <c r="P29"/>
    </row>
    <row r="30" spans="1:16" s="1" customFormat="1" x14ac:dyDescent="0.3">
      <c r="B30" s="1" t="s">
        <v>135</v>
      </c>
      <c r="C30" s="16">
        <v>6500</v>
      </c>
      <c r="D30" s="8"/>
      <c r="E30" s="8"/>
      <c r="G30" s="23"/>
      <c r="K30"/>
      <c r="M30"/>
      <c r="P30"/>
    </row>
    <row r="31" spans="1:16" s="1" customFormat="1" x14ac:dyDescent="0.3">
      <c r="B31" s="1" t="s">
        <v>22</v>
      </c>
      <c r="C31" s="1">
        <v>6500</v>
      </c>
      <c r="D31" s="8">
        <f>C31</f>
        <v>6500</v>
      </c>
      <c r="E31" s="8"/>
      <c r="G31" s="23"/>
      <c r="K31"/>
      <c r="M31"/>
      <c r="P31"/>
    </row>
    <row r="32" spans="1:16" x14ac:dyDescent="0.3">
      <c r="C32" s="15">
        <f>SUM(C2:C31)</f>
        <v>206967.6</v>
      </c>
      <c r="D32" s="23">
        <f>SUM(D2:D31)</f>
        <v>46500</v>
      </c>
      <c r="E32" s="34">
        <f>SUM(E2:E29)</f>
        <v>57000</v>
      </c>
      <c r="F32" s="15">
        <f>SUM(F2:F29)</f>
        <v>149773.79999999999</v>
      </c>
    </row>
    <row r="33" spans="1:16" x14ac:dyDescent="0.3">
      <c r="C33" s="38"/>
      <c r="D33" s="45"/>
    </row>
    <row r="34" spans="1:16" s="1" customFormat="1" x14ac:dyDescent="0.3">
      <c r="A34"/>
      <c r="B34"/>
      <c r="C34" s="38"/>
      <c r="D34" s="45"/>
      <c r="G34" s="8"/>
      <c r="K34"/>
      <c r="M34"/>
      <c r="P34"/>
    </row>
    <row r="35" spans="1:16" s="1" customFormat="1" x14ac:dyDescent="0.3">
      <c r="A35"/>
      <c r="B35"/>
      <c r="C35" s="38">
        <v>112000</v>
      </c>
      <c r="D35" s="45"/>
      <c r="G35" s="8"/>
      <c r="K35"/>
      <c r="M35"/>
      <c r="P35"/>
    </row>
    <row r="36" spans="1:16" s="1" customFormat="1" x14ac:dyDescent="0.3">
      <c r="A36"/>
      <c r="B36"/>
      <c r="C36" s="38">
        <f>E3+E4+C7+C21</f>
        <v>10000</v>
      </c>
      <c r="D36" s="45"/>
      <c r="G36" s="8"/>
      <c r="K36"/>
      <c r="M36"/>
      <c r="P36"/>
    </row>
    <row r="37" spans="1:16" s="1" customFormat="1" x14ac:dyDescent="0.3">
      <c r="B37"/>
      <c r="C37" s="38"/>
      <c r="D37" s="45"/>
      <c r="G37" s="8"/>
      <c r="K37"/>
      <c r="M37"/>
    </row>
    <row r="38" spans="1:16" s="1" customFormat="1" x14ac:dyDescent="0.3">
      <c r="A38"/>
      <c r="B38"/>
      <c r="C38" s="38"/>
      <c r="D38" s="45"/>
      <c r="G38" s="8"/>
      <c r="K38"/>
      <c r="M38"/>
      <c r="P38"/>
    </row>
    <row r="39" spans="1:16" s="1" customFormat="1" x14ac:dyDescent="0.3">
      <c r="B39"/>
      <c r="C39" s="38"/>
      <c r="D39" s="45"/>
      <c r="G39" s="8"/>
      <c r="K39"/>
      <c r="M39"/>
    </row>
    <row r="40" spans="1:16" s="1" customFormat="1" x14ac:dyDescent="0.3">
      <c r="B40"/>
      <c r="D40" s="8"/>
      <c r="G40" s="8"/>
      <c r="K40"/>
      <c r="M40"/>
    </row>
    <row r="41" spans="1:16" s="1" customFormat="1" x14ac:dyDescent="0.3">
      <c r="B41"/>
      <c r="D41" s="8"/>
      <c r="G41" s="8"/>
      <c r="K41"/>
      <c r="M4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BFF3-1814-40C0-A593-CAC6498AB9AF}">
  <dimension ref="A1:O40"/>
  <sheetViews>
    <sheetView workbookViewId="0">
      <selection activeCell="C2" sqref="C2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4.6640625" style="8" customWidth="1"/>
    <col min="7" max="7" width="21.44140625" style="1" bestFit="1" customWidth="1"/>
    <col min="8" max="8" width="14.6640625" style="1" customWidth="1"/>
    <col min="9" max="9" width="4.6640625" style="1" customWidth="1"/>
    <col min="11" max="11" width="11.5546875" style="1"/>
    <col min="12" max="12" width="21.88671875" customWidth="1"/>
    <col min="13" max="14" width="11.5546875" style="1"/>
  </cols>
  <sheetData>
    <row r="1" spans="2:13" x14ac:dyDescent="0.3">
      <c r="B1" s="2" t="s">
        <v>175</v>
      </c>
      <c r="C1" s="30" t="s">
        <v>93</v>
      </c>
      <c r="D1" s="30" t="s">
        <v>94</v>
      </c>
      <c r="G1" s="3" t="s">
        <v>96</v>
      </c>
      <c r="J1" s="3"/>
      <c r="L1" s="1"/>
    </row>
    <row r="2" spans="2:13" x14ac:dyDescent="0.3">
      <c r="B2" t="s">
        <v>44</v>
      </c>
      <c r="C2" s="16">
        <v>110000</v>
      </c>
      <c r="D2" s="8">
        <v>110000</v>
      </c>
      <c r="G2" s="1" t="s">
        <v>178</v>
      </c>
      <c r="H2" s="1">
        <v>198200</v>
      </c>
      <c r="L2" s="1"/>
    </row>
    <row r="3" spans="2:13" x14ac:dyDescent="0.3">
      <c r="B3" t="s">
        <v>45</v>
      </c>
      <c r="C3" s="16">
        <f>H18</f>
        <v>18750</v>
      </c>
      <c r="D3" s="8">
        <v>20000</v>
      </c>
      <c r="G3" s="1" t="s">
        <v>179</v>
      </c>
      <c r="H3" s="1">
        <v>39100</v>
      </c>
      <c r="L3" s="1"/>
    </row>
    <row r="4" spans="2:13" x14ac:dyDescent="0.3">
      <c r="B4" t="s">
        <v>16</v>
      </c>
      <c r="D4" s="8">
        <v>30000</v>
      </c>
      <c r="G4" s="1" t="s">
        <v>169</v>
      </c>
      <c r="H4" s="1">
        <v>200000</v>
      </c>
      <c r="L4" s="1"/>
    </row>
    <row r="5" spans="2:13" x14ac:dyDescent="0.3">
      <c r="B5" t="s">
        <v>16</v>
      </c>
      <c r="D5" s="8"/>
      <c r="L5" s="1"/>
    </row>
    <row r="6" spans="2:13" x14ac:dyDescent="0.3">
      <c r="B6" t="s">
        <v>71</v>
      </c>
      <c r="C6" s="16">
        <v>5916</v>
      </c>
      <c r="H6" s="15">
        <f>SUM(H2:H5)</f>
        <v>437300</v>
      </c>
      <c r="L6" s="1"/>
    </row>
    <row r="7" spans="2:13" x14ac:dyDescent="0.3">
      <c r="B7" s="33" t="s">
        <v>31</v>
      </c>
      <c r="C7" s="16">
        <v>19999.8</v>
      </c>
      <c r="D7" s="1">
        <v>10000</v>
      </c>
      <c r="G7" s="1" t="s">
        <v>90</v>
      </c>
      <c r="H7" s="35">
        <f>H6-C31-D31</f>
        <v>4962.1800000000221</v>
      </c>
      <c r="L7" s="1"/>
    </row>
    <row r="8" spans="2:13" x14ac:dyDescent="0.3">
      <c r="B8" t="s">
        <v>8</v>
      </c>
      <c r="E8" s="8"/>
      <c r="L8">
        <f>9*60*13.6</f>
        <v>7344</v>
      </c>
    </row>
    <row r="9" spans="2:13" x14ac:dyDescent="0.3">
      <c r="B9" t="s">
        <v>32</v>
      </c>
      <c r="L9">
        <f>L8/150</f>
        <v>48.96</v>
      </c>
    </row>
    <row r="10" spans="2:13" x14ac:dyDescent="0.3">
      <c r="B10" t="s">
        <v>95</v>
      </c>
      <c r="E10" s="8">
        <v>8526</v>
      </c>
      <c r="G10" t="s">
        <v>88</v>
      </c>
      <c r="H10" s="1">
        <v>4000</v>
      </c>
    </row>
    <row r="11" spans="2:13" x14ac:dyDescent="0.3">
      <c r="B11" t="s">
        <v>34</v>
      </c>
      <c r="G11" t="s">
        <v>64</v>
      </c>
      <c r="H11" s="1">
        <v>4000</v>
      </c>
    </row>
    <row r="12" spans="2:13" x14ac:dyDescent="0.3">
      <c r="B12" t="s">
        <v>48</v>
      </c>
      <c r="G12" t="s">
        <v>66</v>
      </c>
      <c r="H12" s="1">
        <v>3000</v>
      </c>
      <c r="M12" s="1" t="s">
        <v>152</v>
      </c>
    </row>
    <row r="13" spans="2:13" x14ac:dyDescent="0.3">
      <c r="B13" t="s">
        <v>50</v>
      </c>
      <c r="E13" s="29">
        <v>49247.8</v>
      </c>
      <c r="G13" t="s">
        <v>154</v>
      </c>
    </row>
    <row r="14" spans="2:13" x14ac:dyDescent="0.3">
      <c r="B14" t="s">
        <v>49</v>
      </c>
      <c r="C14" s="16">
        <v>4045.02</v>
      </c>
      <c r="G14" t="s">
        <v>67</v>
      </c>
      <c r="H14" s="1">
        <v>1950</v>
      </c>
    </row>
    <row r="15" spans="2:13" x14ac:dyDescent="0.3">
      <c r="B15" t="s">
        <v>54</v>
      </c>
      <c r="G15" t="s">
        <v>22</v>
      </c>
      <c r="H15" s="1">
        <v>3000</v>
      </c>
    </row>
    <row r="16" spans="2:13" x14ac:dyDescent="0.3">
      <c r="B16" t="s">
        <v>180</v>
      </c>
      <c r="C16" s="16">
        <v>20000</v>
      </c>
      <c r="D16" s="8"/>
      <c r="G16" t="s">
        <v>135</v>
      </c>
      <c r="H16" s="1">
        <v>2800</v>
      </c>
    </row>
    <row r="17" spans="1:15" x14ac:dyDescent="0.3">
      <c r="B17" t="s">
        <v>105</v>
      </c>
      <c r="C17" s="16">
        <f>(C16+C29+2000+5000)*0.045</f>
        <v>1575</v>
      </c>
      <c r="E17" s="8"/>
      <c r="G17"/>
    </row>
    <row r="18" spans="1:15" x14ac:dyDescent="0.3">
      <c r="B18" t="s">
        <v>55</v>
      </c>
      <c r="G18"/>
      <c r="H18" s="3">
        <f>SUM(H10:H17)</f>
        <v>18750</v>
      </c>
    </row>
    <row r="19" spans="1:15" x14ac:dyDescent="0.3">
      <c r="A19" s="1"/>
      <c r="B19" t="s">
        <v>170</v>
      </c>
      <c r="G19"/>
    </row>
    <row r="20" spans="1:15" s="1" customFormat="1" x14ac:dyDescent="0.3">
      <c r="B20" s="1" t="s">
        <v>106</v>
      </c>
      <c r="F20" s="8"/>
      <c r="G20"/>
      <c r="J20"/>
      <c r="L20"/>
      <c r="O20"/>
    </row>
    <row r="21" spans="1:15" s="1" customFormat="1" x14ac:dyDescent="0.3">
      <c r="B21" s="1" t="s">
        <v>165</v>
      </c>
      <c r="D21" s="8">
        <f>3500*12</f>
        <v>42000</v>
      </c>
      <c r="F21" s="8"/>
      <c r="G21"/>
      <c r="J21"/>
      <c r="L21"/>
      <c r="O21"/>
    </row>
    <row r="22" spans="1:15" s="1" customFormat="1" x14ac:dyDescent="0.3">
      <c r="B22" s="1" t="s">
        <v>109</v>
      </c>
      <c r="C22" s="8"/>
      <c r="F22" s="8"/>
      <c r="G22"/>
      <c r="J22"/>
      <c r="K22" s="1">
        <f>32*25</f>
        <v>800</v>
      </c>
      <c r="L22"/>
      <c r="O22"/>
    </row>
    <row r="23" spans="1:15" s="1" customFormat="1" x14ac:dyDescent="0.3">
      <c r="B23" s="8" t="s">
        <v>126</v>
      </c>
      <c r="C23" s="8"/>
      <c r="F23" s="23"/>
      <c r="G23"/>
      <c r="J23"/>
      <c r="K23" s="1">
        <f>4000/K22</f>
        <v>5</v>
      </c>
      <c r="L23"/>
      <c r="O23"/>
    </row>
    <row r="24" spans="1:15" s="1" customFormat="1" x14ac:dyDescent="0.3">
      <c r="B24" s="1" t="s">
        <v>1</v>
      </c>
      <c r="D24" s="1">
        <v>15000</v>
      </c>
      <c r="E24" s="16">
        <v>30000</v>
      </c>
      <c r="F24" s="23"/>
      <c r="G24"/>
      <c r="J24"/>
      <c r="L24"/>
      <c r="O24"/>
    </row>
    <row r="25" spans="1:15" s="1" customFormat="1" x14ac:dyDescent="0.3">
      <c r="B25" s="1" t="s">
        <v>138</v>
      </c>
      <c r="C25" s="8"/>
      <c r="E25" s="1">
        <f>47000-D25</f>
        <v>47000</v>
      </c>
      <c r="F25" s="23"/>
      <c r="G25">
        <f>1600/15</f>
        <v>106.66666666666667</v>
      </c>
      <c r="H25" s="3"/>
      <c r="J25"/>
      <c r="L25"/>
      <c r="O25"/>
    </row>
    <row r="26" spans="1:15" s="1" customFormat="1" x14ac:dyDescent="0.3">
      <c r="B26" s="1" t="s">
        <v>156</v>
      </c>
      <c r="C26" s="1">
        <f>1450*5</f>
        <v>7250</v>
      </c>
      <c r="F26" s="23"/>
      <c r="G26" s="1">
        <f>G25/30</f>
        <v>3.5555555555555558</v>
      </c>
      <c r="J26"/>
      <c r="L26"/>
      <c r="O26"/>
    </row>
    <row r="27" spans="1:15" s="1" customFormat="1" x14ac:dyDescent="0.3">
      <c r="B27" s="1" t="s">
        <v>155</v>
      </c>
      <c r="C27" s="8">
        <f>16.9*1.16*500</f>
        <v>9801.9999999999982</v>
      </c>
      <c r="F27" s="23"/>
      <c r="J27"/>
      <c r="L27"/>
      <c r="O27"/>
    </row>
    <row r="28" spans="1:15" s="1" customFormat="1" x14ac:dyDescent="0.3">
      <c r="B28" s="1" t="s">
        <v>176</v>
      </c>
      <c r="E28" s="1">
        <v>15000</v>
      </c>
      <c r="F28" s="23"/>
      <c r="J28"/>
      <c r="L28"/>
      <c r="O28"/>
    </row>
    <row r="29" spans="1:15" s="1" customFormat="1" x14ac:dyDescent="0.3">
      <c r="B29" s="1" t="s">
        <v>177</v>
      </c>
      <c r="C29" s="16">
        <v>8000</v>
      </c>
      <c r="D29" s="8"/>
      <c r="F29" s="23"/>
      <c r="J29"/>
      <c r="L29"/>
      <c r="O29"/>
    </row>
    <row r="30" spans="1:15" s="1" customFormat="1" x14ac:dyDescent="0.3">
      <c r="C30" s="16"/>
      <c r="D30" s="8"/>
      <c r="F30" s="23"/>
      <c r="J30"/>
      <c r="L30"/>
      <c r="O30"/>
    </row>
    <row r="31" spans="1:15" x14ac:dyDescent="0.3">
      <c r="C31" s="15">
        <f>SUM(C2:C29)</f>
        <v>205337.81999999998</v>
      </c>
      <c r="D31" s="34">
        <f>SUM(D2:D29)</f>
        <v>227000</v>
      </c>
      <c r="E31" s="15">
        <f>SUM(E2:E29)</f>
        <v>149773.79999999999</v>
      </c>
    </row>
    <row r="32" spans="1:15" x14ac:dyDescent="0.3">
      <c r="C32" s="38"/>
    </row>
    <row r="33" spans="2:12" x14ac:dyDescent="0.3">
      <c r="C33" s="38"/>
    </row>
    <row r="34" spans="2:12" x14ac:dyDescent="0.3">
      <c r="C34" s="38">
        <v>112000</v>
      </c>
    </row>
    <row r="35" spans="2:12" x14ac:dyDescent="0.3">
      <c r="C35" s="38">
        <f>D3+D4+C7+C21</f>
        <v>69999.8</v>
      </c>
    </row>
    <row r="36" spans="2:12" s="1" customFormat="1" x14ac:dyDescent="0.3">
      <c r="B36"/>
      <c r="C36" s="38"/>
      <c r="F36" s="8"/>
      <c r="J36"/>
      <c r="L36"/>
    </row>
    <row r="37" spans="2:12" x14ac:dyDescent="0.3">
      <c r="C37" s="38"/>
    </row>
    <row r="38" spans="2:12" s="1" customFormat="1" x14ac:dyDescent="0.3">
      <c r="B38"/>
      <c r="C38" s="38"/>
      <c r="F38" s="8"/>
      <c r="J38"/>
      <c r="L38"/>
    </row>
    <row r="39" spans="2:12" s="1" customFormat="1" x14ac:dyDescent="0.3">
      <c r="B39"/>
      <c r="F39" s="8"/>
      <c r="J39"/>
      <c r="L39"/>
    </row>
    <row r="40" spans="2:12" s="1" customFormat="1" x14ac:dyDescent="0.3">
      <c r="B40"/>
      <c r="F40" s="8"/>
      <c r="J40"/>
      <c r="L40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C9CF-EAA9-4643-BB48-E9C3862F6AB6}">
  <dimension ref="A1:O39"/>
  <sheetViews>
    <sheetView workbookViewId="0">
      <selection activeCell="H11" sqref="H11"/>
    </sheetView>
  </sheetViews>
  <sheetFormatPr baseColWidth="10" defaultRowHeight="14.4" x14ac:dyDescent="0.3"/>
  <cols>
    <col min="1" max="1" width="4.6640625" customWidth="1"/>
    <col min="2" max="2" width="34.441406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4.6640625" style="8" customWidth="1"/>
    <col min="7" max="7" width="21.44140625" style="1" bestFit="1" customWidth="1"/>
    <col min="8" max="8" width="14.6640625" style="1" customWidth="1"/>
    <col min="9" max="9" width="4.6640625" style="1" customWidth="1"/>
    <col min="11" max="11" width="11.5546875" style="1"/>
    <col min="12" max="12" width="21.88671875" customWidth="1"/>
    <col min="13" max="14" width="11.5546875" style="1"/>
  </cols>
  <sheetData>
    <row r="1" spans="2:13" x14ac:dyDescent="0.3">
      <c r="B1" s="2" t="s">
        <v>168</v>
      </c>
      <c r="C1" s="30" t="s">
        <v>93</v>
      </c>
      <c r="D1" s="30" t="s">
        <v>94</v>
      </c>
      <c r="G1" s="3" t="s">
        <v>96</v>
      </c>
      <c r="J1" s="3"/>
      <c r="L1" s="1"/>
    </row>
    <row r="2" spans="2:13" x14ac:dyDescent="0.3">
      <c r="B2" t="s">
        <v>44</v>
      </c>
      <c r="C2" s="16">
        <v>98000</v>
      </c>
      <c r="D2" s="16">
        <v>12500</v>
      </c>
      <c r="G2" s="1" t="s">
        <v>169</v>
      </c>
      <c r="H2" s="1">
        <v>190680</v>
      </c>
      <c r="L2" s="1"/>
    </row>
    <row r="3" spans="2:13" x14ac:dyDescent="0.3">
      <c r="B3" t="s">
        <v>45</v>
      </c>
      <c r="C3" s="16">
        <f>H18</f>
        <v>9950</v>
      </c>
      <c r="D3" s="8"/>
      <c r="G3" s="1" t="s">
        <v>173</v>
      </c>
      <c r="H3" s="1">
        <v>30000</v>
      </c>
      <c r="L3" s="1"/>
    </row>
    <row r="4" spans="2:13" x14ac:dyDescent="0.3">
      <c r="B4" t="s">
        <v>16</v>
      </c>
      <c r="C4" s="16">
        <v>27783.47</v>
      </c>
      <c r="G4" s="1" t="s">
        <v>171</v>
      </c>
      <c r="H4" s="1">
        <v>80000</v>
      </c>
      <c r="L4" s="1"/>
    </row>
    <row r="5" spans="2:13" x14ac:dyDescent="0.3">
      <c r="B5" t="s">
        <v>16</v>
      </c>
      <c r="D5" s="16">
        <v>19105</v>
      </c>
      <c r="L5" s="1"/>
    </row>
    <row r="6" spans="2:13" x14ac:dyDescent="0.3">
      <c r="B6" t="s">
        <v>71</v>
      </c>
      <c r="C6" s="16">
        <v>3940.45</v>
      </c>
      <c r="H6" s="15">
        <f>SUM(H2:H5)</f>
        <v>300680</v>
      </c>
      <c r="L6" s="1"/>
    </row>
    <row r="7" spans="2:13" x14ac:dyDescent="0.3">
      <c r="B7" s="33" t="s">
        <v>31</v>
      </c>
      <c r="E7" s="8">
        <v>19999.8</v>
      </c>
      <c r="G7" s="1" t="s">
        <v>90</v>
      </c>
      <c r="H7" s="35">
        <f>H6-C30-D30</f>
        <v>6237.0099999999802</v>
      </c>
      <c r="L7" s="1"/>
    </row>
    <row r="8" spans="2:13" x14ac:dyDescent="0.3">
      <c r="B8" t="s">
        <v>8</v>
      </c>
      <c r="C8" s="8"/>
      <c r="E8" s="8"/>
      <c r="L8">
        <f>9*60*13.6</f>
        <v>7344</v>
      </c>
    </row>
    <row r="9" spans="2:13" x14ac:dyDescent="0.3">
      <c r="B9" t="s">
        <v>32</v>
      </c>
      <c r="C9" s="8"/>
      <c r="L9">
        <f>L8/150</f>
        <v>48.96</v>
      </c>
    </row>
    <row r="10" spans="2:13" x14ac:dyDescent="0.3">
      <c r="B10" t="s">
        <v>95</v>
      </c>
      <c r="E10" s="8">
        <v>8526</v>
      </c>
      <c r="G10" t="s">
        <v>88</v>
      </c>
    </row>
    <row r="11" spans="2:13" x14ac:dyDescent="0.3">
      <c r="B11" t="s">
        <v>34</v>
      </c>
      <c r="G11" t="s">
        <v>64</v>
      </c>
      <c r="H11" s="1">
        <v>4500</v>
      </c>
    </row>
    <row r="12" spans="2:13" x14ac:dyDescent="0.3">
      <c r="B12" t="s">
        <v>48</v>
      </c>
      <c r="C12" s="8"/>
      <c r="G12" t="s">
        <v>66</v>
      </c>
      <c r="H12" s="1">
        <v>3500</v>
      </c>
      <c r="M12" s="1" t="s">
        <v>152</v>
      </c>
    </row>
    <row r="13" spans="2:13" x14ac:dyDescent="0.3">
      <c r="B13" t="s">
        <v>50</v>
      </c>
      <c r="C13" s="8"/>
      <c r="E13" s="29">
        <v>49247.8</v>
      </c>
      <c r="G13" t="s">
        <v>154</v>
      </c>
    </row>
    <row r="14" spans="2:13" x14ac:dyDescent="0.3">
      <c r="B14" t="s">
        <v>49</v>
      </c>
      <c r="C14" s="8"/>
      <c r="G14" t="s">
        <v>67</v>
      </c>
      <c r="H14" s="1">
        <v>1950</v>
      </c>
    </row>
    <row r="15" spans="2:13" x14ac:dyDescent="0.3">
      <c r="B15" t="s">
        <v>54</v>
      </c>
      <c r="G15" t="s">
        <v>22</v>
      </c>
    </row>
    <row r="16" spans="2:13" x14ac:dyDescent="0.3">
      <c r="B16" t="s">
        <v>52</v>
      </c>
      <c r="D16" s="16">
        <v>35178</v>
      </c>
      <c r="G16" t="s">
        <v>135</v>
      </c>
    </row>
    <row r="17" spans="1:15" x14ac:dyDescent="0.3">
      <c r="B17" t="s">
        <v>105</v>
      </c>
      <c r="C17" s="16">
        <f>(C2+D3)*0.04</f>
        <v>3920</v>
      </c>
      <c r="E17" s="8"/>
      <c r="G17"/>
    </row>
    <row r="18" spans="1:15" x14ac:dyDescent="0.3">
      <c r="B18" t="s">
        <v>55</v>
      </c>
      <c r="C18" s="16">
        <v>28500</v>
      </c>
      <c r="G18"/>
      <c r="H18" s="3">
        <f>SUM(H10:H17)</f>
        <v>9950</v>
      </c>
    </row>
    <row r="19" spans="1:15" x14ac:dyDescent="0.3">
      <c r="A19" s="1"/>
      <c r="B19" t="s">
        <v>170</v>
      </c>
      <c r="C19" s="16">
        <v>2728.32</v>
      </c>
      <c r="G19"/>
    </row>
    <row r="20" spans="1:15" s="1" customFormat="1" x14ac:dyDescent="0.3">
      <c r="B20" s="1" t="s">
        <v>106</v>
      </c>
      <c r="F20" s="8"/>
      <c r="G20"/>
      <c r="J20"/>
      <c r="L20"/>
      <c r="O20"/>
    </row>
    <row r="21" spans="1:15" s="1" customFormat="1" x14ac:dyDescent="0.3">
      <c r="B21" s="1" t="s">
        <v>165</v>
      </c>
      <c r="C21" s="16">
        <v>33328.910000000003</v>
      </c>
      <c r="D21" s="16">
        <v>9280</v>
      </c>
      <c r="F21" s="8"/>
      <c r="G21"/>
      <c r="J21"/>
      <c r="L21"/>
      <c r="O21"/>
    </row>
    <row r="22" spans="1:15" s="1" customFormat="1" x14ac:dyDescent="0.3">
      <c r="B22" s="1" t="s">
        <v>109</v>
      </c>
      <c r="C22" s="8"/>
      <c r="F22" s="8"/>
      <c r="G22"/>
      <c r="J22"/>
      <c r="L22"/>
      <c r="O22"/>
    </row>
    <row r="23" spans="1:15" s="1" customFormat="1" x14ac:dyDescent="0.3">
      <c r="B23" s="8" t="s">
        <v>126</v>
      </c>
      <c r="C23" s="8"/>
      <c r="F23" s="23"/>
      <c r="G23"/>
      <c r="J23"/>
      <c r="L23"/>
      <c r="O23"/>
    </row>
    <row r="24" spans="1:15" s="1" customFormat="1" x14ac:dyDescent="0.3">
      <c r="B24" s="1" t="s">
        <v>1</v>
      </c>
      <c r="E24" s="16">
        <v>30000</v>
      </c>
      <c r="F24" s="23"/>
      <c r="G24"/>
      <c r="J24"/>
      <c r="L24"/>
      <c r="O24"/>
    </row>
    <row r="25" spans="1:15" s="1" customFormat="1" x14ac:dyDescent="0.3">
      <c r="B25" s="1" t="s">
        <v>138</v>
      </c>
      <c r="C25" s="8"/>
      <c r="E25" s="1">
        <f>47000-D25</f>
        <v>47000</v>
      </c>
      <c r="F25" s="23"/>
      <c r="G25"/>
      <c r="H25" s="3"/>
      <c r="J25"/>
      <c r="L25"/>
      <c r="O25"/>
    </row>
    <row r="26" spans="1:15" s="1" customFormat="1" x14ac:dyDescent="0.3">
      <c r="B26" s="1" t="s">
        <v>156</v>
      </c>
      <c r="D26" s="1">
        <f>1450*4</f>
        <v>5800</v>
      </c>
      <c r="F26" s="23"/>
      <c r="J26"/>
      <c r="L26"/>
      <c r="O26"/>
    </row>
    <row r="27" spans="1:15" s="1" customFormat="1" x14ac:dyDescent="0.3">
      <c r="B27" s="1" t="s">
        <v>155</v>
      </c>
      <c r="C27" s="8"/>
      <c r="F27" s="23"/>
      <c r="J27"/>
      <c r="L27"/>
      <c r="O27"/>
    </row>
    <row r="28" spans="1:15" s="1" customFormat="1" x14ac:dyDescent="0.3">
      <c r="B28" s="1" t="s">
        <v>172</v>
      </c>
      <c r="C28" s="16">
        <f>6*400</f>
        <v>2400</v>
      </c>
      <c r="F28" s="23"/>
      <c r="J28"/>
      <c r="L28"/>
      <c r="O28"/>
    </row>
    <row r="29" spans="1:15" s="1" customFormat="1" x14ac:dyDescent="0.3">
      <c r="B29" s="1" t="s">
        <v>174</v>
      </c>
      <c r="C29" s="8"/>
      <c r="D29" s="16">
        <v>2028.84</v>
      </c>
      <c r="F29" s="23"/>
      <c r="J29"/>
      <c r="L29"/>
      <c r="O29"/>
    </row>
    <row r="30" spans="1:15" x14ac:dyDescent="0.3">
      <c r="C30" s="15">
        <f>SUM(C2:C29)</f>
        <v>210551.15000000002</v>
      </c>
      <c r="D30" s="34">
        <f>SUM(D2:D29)</f>
        <v>83891.839999999997</v>
      </c>
      <c r="E30" s="15">
        <f>SUM(E2:E29)</f>
        <v>154773.6</v>
      </c>
    </row>
    <row r="31" spans="1:15" x14ac:dyDescent="0.3">
      <c r="C31" s="38"/>
    </row>
    <row r="32" spans="1:15" x14ac:dyDescent="0.3">
      <c r="C32" s="38"/>
    </row>
    <row r="33" spans="2:12" x14ac:dyDescent="0.3">
      <c r="C33" s="38">
        <v>112000</v>
      </c>
    </row>
    <row r="34" spans="2:12" x14ac:dyDescent="0.3">
      <c r="C34" s="38">
        <f>D3+C4+E7+C21</f>
        <v>81112.180000000008</v>
      </c>
    </row>
    <row r="35" spans="2:12" s="1" customFormat="1" x14ac:dyDescent="0.3">
      <c r="B35"/>
      <c r="C35" s="38"/>
      <c r="F35" s="8"/>
      <c r="J35"/>
      <c r="L35"/>
    </row>
    <row r="36" spans="2:12" x14ac:dyDescent="0.3">
      <c r="C36" s="38"/>
    </row>
    <row r="37" spans="2:12" s="1" customFormat="1" x14ac:dyDescent="0.3">
      <c r="B37"/>
      <c r="C37" s="38"/>
      <c r="F37" s="8"/>
      <c r="J37"/>
      <c r="L37"/>
    </row>
    <row r="38" spans="2:12" s="1" customFormat="1" x14ac:dyDescent="0.3">
      <c r="B38"/>
      <c r="F38" s="8"/>
      <c r="J38"/>
      <c r="L38"/>
    </row>
    <row r="39" spans="2:12" s="1" customFormat="1" x14ac:dyDescent="0.3">
      <c r="B39"/>
      <c r="F39" s="8"/>
      <c r="J39"/>
      <c r="L39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A63B-4153-45FD-B2D8-7F36ACA65585}">
  <dimension ref="A1:O39"/>
  <sheetViews>
    <sheetView workbookViewId="0">
      <selection activeCell="H8" sqref="H8"/>
    </sheetView>
  </sheetViews>
  <sheetFormatPr baseColWidth="10" defaultRowHeight="14.4" x14ac:dyDescent="0.3"/>
  <cols>
    <col min="1" max="1" width="5.88671875" customWidth="1"/>
    <col min="2" max="2" width="34.441406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17.109375" style="1" bestFit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</cols>
  <sheetData>
    <row r="1" spans="2:13" x14ac:dyDescent="0.3">
      <c r="B1" s="2" t="s">
        <v>164</v>
      </c>
      <c r="C1" s="30" t="s">
        <v>93</v>
      </c>
      <c r="D1" s="30" t="s">
        <v>94</v>
      </c>
      <c r="G1" s="3" t="s">
        <v>96</v>
      </c>
      <c r="J1" s="3"/>
      <c r="L1" s="1"/>
    </row>
    <row r="2" spans="2:13" x14ac:dyDescent="0.3">
      <c r="B2" t="s">
        <v>44</v>
      </c>
      <c r="C2" s="16">
        <v>110000</v>
      </c>
      <c r="G2" s="1" t="s">
        <v>151</v>
      </c>
      <c r="H2" s="1">
        <v>40800</v>
      </c>
      <c r="L2" s="1"/>
    </row>
    <row r="3" spans="2:13" x14ac:dyDescent="0.3">
      <c r="B3" t="s">
        <v>45</v>
      </c>
      <c r="C3" s="16">
        <f>H18</f>
        <v>19950</v>
      </c>
      <c r="G3" s="1" t="s">
        <v>166</v>
      </c>
      <c r="H3" s="1">
        <v>5168</v>
      </c>
      <c r="L3" s="1"/>
    </row>
    <row r="4" spans="2:13" x14ac:dyDescent="0.3">
      <c r="B4" t="s">
        <v>16</v>
      </c>
      <c r="C4" s="16">
        <v>29000</v>
      </c>
      <c r="G4" s="1" t="s">
        <v>167</v>
      </c>
      <c r="H4" s="1">
        <v>203456</v>
      </c>
      <c r="L4" s="1"/>
    </row>
    <row r="5" spans="2:13" x14ac:dyDescent="0.3">
      <c r="B5" t="s">
        <v>71</v>
      </c>
      <c r="C5" s="8"/>
      <c r="L5" s="1"/>
    </row>
    <row r="6" spans="2:13" x14ac:dyDescent="0.3">
      <c r="B6" s="33" t="s">
        <v>31</v>
      </c>
      <c r="C6" s="43">
        <v>20000</v>
      </c>
      <c r="H6" s="15">
        <f>SUM(H2:H5)</f>
        <v>249424</v>
      </c>
      <c r="L6" s="1"/>
    </row>
    <row r="7" spans="2:13" x14ac:dyDescent="0.3">
      <c r="B7" t="s">
        <v>8</v>
      </c>
      <c r="C7" s="8"/>
      <c r="E7" s="8"/>
      <c r="G7" s="1" t="s">
        <v>90</v>
      </c>
      <c r="H7" s="35">
        <f>H6-C29-D29</f>
        <v>-18936</v>
      </c>
      <c r="L7" s="1"/>
    </row>
    <row r="8" spans="2:13" x14ac:dyDescent="0.3">
      <c r="B8" t="s">
        <v>32</v>
      </c>
      <c r="C8" s="8"/>
      <c r="L8">
        <f>9*60*13.6</f>
        <v>7344</v>
      </c>
    </row>
    <row r="9" spans="2:13" x14ac:dyDescent="0.3">
      <c r="B9" t="s">
        <v>95</v>
      </c>
      <c r="E9" s="8">
        <v>8526</v>
      </c>
      <c r="L9">
        <f>L8/150</f>
        <v>48.96</v>
      </c>
    </row>
    <row r="10" spans="2:13" x14ac:dyDescent="0.3">
      <c r="B10" t="s">
        <v>34</v>
      </c>
      <c r="G10" t="s">
        <v>88</v>
      </c>
      <c r="H10" s="1">
        <v>4000</v>
      </c>
    </row>
    <row r="11" spans="2:13" x14ac:dyDescent="0.3">
      <c r="B11" t="s">
        <v>48</v>
      </c>
      <c r="C11" s="8"/>
      <c r="G11" t="s">
        <v>64</v>
      </c>
      <c r="H11" s="1">
        <v>4000</v>
      </c>
    </row>
    <row r="12" spans="2:13" x14ac:dyDescent="0.3">
      <c r="B12" t="s">
        <v>50</v>
      </c>
      <c r="C12" s="8"/>
      <c r="E12" s="29">
        <v>49247.8</v>
      </c>
      <c r="G12" t="s">
        <v>66</v>
      </c>
      <c r="H12" s="1">
        <v>3000</v>
      </c>
      <c r="M12" s="1" t="s">
        <v>152</v>
      </c>
    </row>
    <row r="13" spans="2:13" x14ac:dyDescent="0.3">
      <c r="B13" t="s">
        <v>163</v>
      </c>
      <c r="C13" s="8"/>
      <c r="E13" s="8"/>
      <c r="G13" t="s">
        <v>154</v>
      </c>
    </row>
    <row r="14" spans="2:13" x14ac:dyDescent="0.3">
      <c r="B14" t="s">
        <v>49</v>
      </c>
      <c r="C14" s="8"/>
      <c r="G14" t="s">
        <v>67</v>
      </c>
      <c r="H14" s="1">
        <v>1950</v>
      </c>
    </row>
    <row r="15" spans="2:13" x14ac:dyDescent="0.3">
      <c r="B15" t="s">
        <v>54</v>
      </c>
      <c r="G15" t="s">
        <v>22</v>
      </c>
      <c r="H15" s="1">
        <v>3500</v>
      </c>
    </row>
    <row r="16" spans="2:13" x14ac:dyDescent="0.3">
      <c r="B16" t="s">
        <v>52</v>
      </c>
      <c r="C16" s="8"/>
      <c r="E16" s="1">
        <v>35178</v>
      </c>
      <c r="G16" t="s">
        <v>135</v>
      </c>
      <c r="H16" s="1">
        <v>3500</v>
      </c>
    </row>
    <row r="17" spans="1:15" x14ac:dyDescent="0.3">
      <c r="B17" t="s">
        <v>105</v>
      </c>
      <c r="C17" s="16">
        <f>4608+(20000*0.05)</f>
        <v>5608</v>
      </c>
      <c r="E17" s="8"/>
      <c r="G17"/>
    </row>
    <row r="18" spans="1:15" x14ac:dyDescent="0.3">
      <c r="B18" t="s">
        <v>55</v>
      </c>
      <c r="E18" s="8">
        <v>28500</v>
      </c>
      <c r="G18"/>
      <c r="H18" s="3">
        <f>SUM(H10:H17)</f>
        <v>19950</v>
      </c>
    </row>
    <row r="19" spans="1:15" x14ac:dyDescent="0.3">
      <c r="A19" s="1"/>
      <c r="B19" t="s">
        <v>55</v>
      </c>
      <c r="C19" s="8"/>
      <c r="G19"/>
    </row>
    <row r="20" spans="1:15" s="1" customFormat="1" x14ac:dyDescent="0.3">
      <c r="B20" s="1" t="s">
        <v>106</v>
      </c>
      <c r="F20" s="8"/>
      <c r="G20"/>
      <c r="J20"/>
      <c r="L20"/>
      <c r="O20"/>
    </row>
    <row r="21" spans="1:15" s="1" customFormat="1" x14ac:dyDescent="0.3">
      <c r="B21" s="1" t="s">
        <v>165</v>
      </c>
      <c r="C21" s="43">
        <v>44000</v>
      </c>
      <c r="F21" s="8"/>
      <c r="G21"/>
      <c r="J21"/>
      <c r="L21"/>
      <c r="O21"/>
    </row>
    <row r="22" spans="1:15" s="1" customFormat="1" x14ac:dyDescent="0.3">
      <c r="B22" s="1" t="s">
        <v>109</v>
      </c>
      <c r="C22" s="8"/>
      <c r="F22" s="23"/>
      <c r="G22"/>
      <c r="J22"/>
      <c r="L22"/>
      <c r="O22"/>
    </row>
    <row r="23" spans="1:15" s="1" customFormat="1" x14ac:dyDescent="0.3">
      <c r="B23" s="8" t="s">
        <v>126</v>
      </c>
      <c r="C23" s="8"/>
      <c r="F23" s="23"/>
      <c r="G23"/>
      <c r="J23"/>
      <c r="L23"/>
      <c r="O23"/>
    </row>
    <row r="24" spans="1:15" s="1" customFormat="1" x14ac:dyDescent="0.3">
      <c r="B24" s="1" t="s">
        <v>1</v>
      </c>
      <c r="D24" s="16">
        <v>30000</v>
      </c>
      <c r="F24" s="23"/>
      <c r="G24"/>
      <c r="J24"/>
      <c r="L24"/>
      <c r="O24"/>
    </row>
    <row r="25" spans="1:15" s="1" customFormat="1" x14ac:dyDescent="0.3">
      <c r="B25" s="1" t="s">
        <v>138</v>
      </c>
      <c r="C25" s="8"/>
      <c r="E25" s="1">
        <f>47000-D25</f>
        <v>47000</v>
      </c>
      <c r="F25" s="23"/>
      <c r="G25"/>
      <c r="H25" s="3"/>
      <c r="J25"/>
      <c r="L25"/>
      <c r="O25"/>
    </row>
    <row r="26" spans="1:15" s="1" customFormat="1" x14ac:dyDescent="0.3">
      <c r="B26" s="1" t="s">
        <v>156</v>
      </c>
      <c r="F26" s="23"/>
      <c r="J26"/>
      <c r="L26"/>
      <c r="O26"/>
    </row>
    <row r="27" spans="1:15" s="1" customFormat="1" x14ac:dyDescent="0.3">
      <c r="B27" s="1" t="s">
        <v>155</v>
      </c>
      <c r="D27" s="16">
        <f>16.9*1.16*500</f>
        <v>9801.9999999999982</v>
      </c>
      <c r="F27" s="23"/>
      <c r="J27"/>
      <c r="L27"/>
      <c r="O27"/>
    </row>
    <row r="28" spans="1:15" s="1" customFormat="1" x14ac:dyDescent="0.3">
      <c r="C28" s="8"/>
      <c r="F28" s="23"/>
      <c r="J28"/>
      <c r="L28"/>
      <c r="O28"/>
    </row>
    <row r="29" spans="1:15" s="1" customFormat="1" x14ac:dyDescent="0.3">
      <c r="A29"/>
      <c r="B29"/>
      <c r="C29" s="15">
        <f>SUM(C2:C27)</f>
        <v>228558</v>
      </c>
      <c r="D29" s="34">
        <f>SUM(D2:D28)</f>
        <v>39802</v>
      </c>
      <c r="E29" s="15">
        <f>SUM(E2:E27)</f>
        <v>168451.8</v>
      </c>
      <c r="F29" s="8"/>
      <c r="J29"/>
      <c r="L29"/>
      <c r="O29"/>
    </row>
    <row r="30" spans="1:15" x14ac:dyDescent="0.3">
      <c r="C30" s="38"/>
    </row>
    <row r="31" spans="1:15" x14ac:dyDescent="0.3">
      <c r="C31" s="38"/>
    </row>
    <row r="32" spans="1:15" x14ac:dyDescent="0.3">
      <c r="C32" s="38">
        <v>112000</v>
      </c>
    </row>
    <row r="33" spans="1:12" x14ac:dyDescent="0.3">
      <c r="C33" s="38">
        <f>C3+C4+C6+C21</f>
        <v>112950</v>
      </c>
    </row>
    <row r="34" spans="1:12" x14ac:dyDescent="0.3">
      <c r="A34" s="1"/>
      <c r="C34" s="38"/>
    </row>
    <row r="35" spans="1:12" s="1" customFormat="1" x14ac:dyDescent="0.3">
      <c r="A35"/>
      <c r="B35"/>
      <c r="C35" s="38"/>
      <c r="F35" s="8"/>
      <c r="J35"/>
      <c r="L35"/>
    </row>
    <row r="36" spans="1:12" x14ac:dyDescent="0.3">
      <c r="A36" s="1"/>
      <c r="C36" s="38"/>
    </row>
    <row r="37" spans="1:12" s="1" customFormat="1" x14ac:dyDescent="0.3">
      <c r="B37"/>
      <c r="F37" s="8"/>
      <c r="J37"/>
      <c r="L37"/>
    </row>
    <row r="38" spans="1:12" s="1" customFormat="1" x14ac:dyDescent="0.3">
      <c r="B38"/>
      <c r="F38" s="8"/>
      <c r="J38"/>
      <c r="L38"/>
    </row>
    <row r="39" spans="1:12" s="1" customFormat="1" x14ac:dyDescent="0.3">
      <c r="A39"/>
      <c r="B39"/>
      <c r="F39" s="8"/>
      <c r="J39"/>
      <c r="L39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2F38-5E7F-4E4E-AF1C-FA6B34C3812F}">
  <dimension ref="A1:O39"/>
  <sheetViews>
    <sheetView workbookViewId="0">
      <selection activeCell="C27" sqref="C27"/>
    </sheetView>
  </sheetViews>
  <sheetFormatPr baseColWidth="10" defaultRowHeight="14.4" x14ac:dyDescent="0.3"/>
  <cols>
    <col min="1" max="1" width="5.88671875" customWidth="1"/>
    <col min="2" max="2" width="34.441406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17.109375" style="1" bestFit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</cols>
  <sheetData>
    <row r="1" spans="2:13" x14ac:dyDescent="0.3">
      <c r="B1" s="2" t="s">
        <v>153</v>
      </c>
      <c r="C1" s="30" t="s">
        <v>93</v>
      </c>
      <c r="D1" s="30" t="s">
        <v>94</v>
      </c>
      <c r="G1" s="3" t="s">
        <v>96</v>
      </c>
      <c r="J1" s="3"/>
      <c r="L1" s="1"/>
    </row>
    <row r="2" spans="2:13" x14ac:dyDescent="0.3">
      <c r="B2" t="s">
        <v>44</v>
      </c>
      <c r="C2" s="16">
        <v>120000</v>
      </c>
      <c r="L2" s="1"/>
    </row>
    <row r="3" spans="2:13" x14ac:dyDescent="0.3">
      <c r="B3" t="s">
        <v>45</v>
      </c>
      <c r="C3" s="16">
        <f>H18</f>
        <v>14950</v>
      </c>
      <c r="G3" s="1" t="s">
        <v>137</v>
      </c>
      <c r="H3" s="1">
        <v>117920</v>
      </c>
      <c r="L3" s="1"/>
    </row>
    <row r="4" spans="2:13" x14ac:dyDescent="0.3">
      <c r="B4" t="s">
        <v>16</v>
      </c>
      <c r="E4" s="8">
        <v>20000</v>
      </c>
      <c r="G4" s="1" t="s">
        <v>151</v>
      </c>
      <c r="H4" s="1">
        <v>203456</v>
      </c>
      <c r="L4" s="1"/>
    </row>
    <row r="5" spans="2:13" x14ac:dyDescent="0.3">
      <c r="B5" t="s">
        <v>71</v>
      </c>
      <c r="C5" s="8"/>
      <c r="L5" s="1"/>
    </row>
    <row r="6" spans="2:13" x14ac:dyDescent="0.3">
      <c r="B6" s="33" t="s">
        <v>31</v>
      </c>
      <c r="C6" s="16">
        <v>15000</v>
      </c>
      <c r="H6" s="15">
        <f>SUM(H2:H5)</f>
        <v>321376</v>
      </c>
      <c r="L6" s="1"/>
    </row>
    <row r="7" spans="2:13" x14ac:dyDescent="0.3">
      <c r="B7" t="s">
        <v>8</v>
      </c>
      <c r="C7" s="8"/>
      <c r="D7" s="8"/>
      <c r="E7" s="8"/>
      <c r="G7" s="1" t="s">
        <v>90</v>
      </c>
      <c r="H7" s="35">
        <f>H6-C29-D29</f>
        <v>7304.2000000000116</v>
      </c>
      <c r="L7" s="1"/>
    </row>
    <row r="8" spans="2:13" x14ac:dyDescent="0.3">
      <c r="B8" t="s">
        <v>32</v>
      </c>
      <c r="C8" s="8"/>
      <c r="L8">
        <f>9*60*13.6</f>
        <v>7344</v>
      </c>
    </row>
    <row r="9" spans="2:13" x14ac:dyDescent="0.3">
      <c r="B9" t="s">
        <v>95</v>
      </c>
      <c r="E9" s="8">
        <v>8526</v>
      </c>
      <c r="L9">
        <f>L8/150</f>
        <v>48.96</v>
      </c>
    </row>
    <row r="10" spans="2:13" x14ac:dyDescent="0.3">
      <c r="B10" t="s">
        <v>34</v>
      </c>
      <c r="G10" t="s">
        <v>88</v>
      </c>
    </row>
    <row r="11" spans="2:13" x14ac:dyDescent="0.3">
      <c r="B11" t="s">
        <v>48</v>
      </c>
      <c r="C11" s="8"/>
      <c r="G11" t="s">
        <v>64</v>
      </c>
      <c r="H11" s="1">
        <v>4500</v>
      </c>
    </row>
    <row r="12" spans="2:13" x14ac:dyDescent="0.3">
      <c r="B12" t="s">
        <v>50</v>
      </c>
      <c r="C12" s="8"/>
      <c r="E12" s="29">
        <v>49247.8</v>
      </c>
      <c r="G12" t="s">
        <v>66</v>
      </c>
      <c r="H12" s="1">
        <v>3500</v>
      </c>
      <c r="M12" s="1" t="s">
        <v>152</v>
      </c>
    </row>
    <row r="13" spans="2:13" x14ac:dyDescent="0.3">
      <c r="B13" t="s">
        <v>163</v>
      </c>
      <c r="C13" s="8"/>
      <c r="D13" s="42">
        <v>2987</v>
      </c>
      <c r="E13" s="8"/>
      <c r="G13" t="s">
        <v>154</v>
      </c>
      <c r="H13" s="1">
        <v>2000</v>
      </c>
    </row>
    <row r="14" spans="2:13" x14ac:dyDescent="0.3">
      <c r="B14" t="s">
        <v>49</v>
      </c>
      <c r="C14" s="8"/>
      <c r="G14" t="s">
        <v>67</v>
      </c>
      <c r="H14" s="1">
        <v>1950</v>
      </c>
    </row>
    <row r="15" spans="2:13" x14ac:dyDescent="0.3">
      <c r="B15" t="s">
        <v>54</v>
      </c>
      <c r="D15" s="42">
        <v>16240</v>
      </c>
      <c r="G15" s="1" t="s">
        <v>134</v>
      </c>
    </row>
    <row r="16" spans="2:13" x14ac:dyDescent="0.3">
      <c r="B16" t="s">
        <v>52</v>
      </c>
      <c r="C16" s="8"/>
      <c r="E16" s="1">
        <v>35178</v>
      </c>
      <c r="G16" t="s">
        <v>22</v>
      </c>
      <c r="H16" s="1">
        <v>3000</v>
      </c>
    </row>
    <row r="17" spans="1:15" x14ac:dyDescent="0.3">
      <c r="B17" t="s">
        <v>105</v>
      </c>
      <c r="C17" s="16">
        <f>12392+834</f>
        <v>13226</v>
      </c>
      <c r="E17" s="8"/>
      <c r="G17" t="s">
        <v>135</v>
      </c>
    </row>
    <row r="18" spans="1:15" x14ac:dyDescent="0.3">
      <c r="B18" t="s">
        <v>55</v>
      </c>
      <c r="E18" s="8">
        <v>28500</v>
      </c>
      <c r="G18"/>
      <c r="H18" s="3">
        <f>SUM(H10:H17)</f>
        <v>14950</v>
      </c>
    </row>
    <row r="19" spans="1:15" x14ac:dyDescent="0.3">
      <c r="A19" s="1"/>
      <c r="B19" t="s">
        <v>55</v>
      </c>
      <c r="C19" s="8"/>
      <c r="D19" s="42">
        <v>25500</v>
      </c>
      <c r="G19"/>
      <c r="H19" s="3">
        <v>9000</v>
      </c>
    </row>
    <row r="20" spans="1:15" s="1" customFormat="1" x14ac:dyDescent="0.3">
      <c r="B20" s="1" t="s">
        <v>106</v>
      </c>
      <c r="F20" s="8"/>
      <c r="G20"/>
      <c r="H20" s="41">
        <f>H18-H19</f>
        <v>5950</v>
      </c>
      <c r="J20"/>
      <c r="L20"/>
      <c r="O20"/>
    </row>
    <row r="21" spans="1:15" s="1" customFormat="1" x14ac:dyDescent="0.3">
      <c r="B21" s="1" t="s">
        <v>162</v>
      </c>
      <c r="C21" s="8"/>
      <c r="D21" s="42">
        <v>10000</v>
      </c>
      <c r="F21" s="8"/>
      <c r="G21"/>
      <c r="J21"/>
      <c r="L21"/>
      <c r="O21"/>
    </row>
    <row r="22" spans="1:15" s="1" customFormat="1" x14ac:dyDescent="0.3">
      <c r="B22" s="1" t="s">
        <v>109</v>
      </c>
      <c r="C22" s="8"/>
      <c r="F22" s="23"/>
      <c r="G22"/>
      <c r="J22"/>
      <c r="L22"/>
      <c r="O22"/>
    </row>
    <row r="23" spans="1:15" s="1" customFormat="1" x14ac:dyDescent="0.3">
      <c r="B23" s="8" t="s">
        <v>126</v>
      </c>
      <c r="C23" s="8"/>
      <c r="D23" s="42">
        <v>5007</v>
      </c>
      <c r="F23" s="23"/>
      <c r="G23"/>
      <c r="J23"/>
      <c r="L23"/>
      <c r="O23"/>
    </row>
    <row r="24" spans="1:15" s="1" customFormat="1" x14ac:dyDescent="0.3">
      <c r="B24" s="1" t="s">
        <v>1</v>
      </c>
      <c r="C24" s="16">
        <v>30000</v>
      </c>
      <c r="D24" s="42">
        <v>10000</v>
      </c>
      <c r="F24" s="23"/>
      <c r="G24"/>
      <c r="J24"/>
      <c r="L24"/>
      <c r="O24"/>
    </row>
    <row r="25" spans="1:15" s="1" customFormat="1" x14ac:dyDescent="0.3">
      <c r="B25" s="1" t="s">
        <v>138</v>
      </c>
      <c r="C25" s="8"/>
      <c r="E25" s="1">
        <f>47000-D25</f>
        <v>47000</v>
      </c>
      <c r="F25" s="23"/>
      <c r="G25"/>
      <c r="H25" s="3"/>
      <c r="J25"/>
      <c r="L25"/>
      <c r="O25"/>
    </row>
    <row r="26" spans="1:15" s="1" customFormat="1" x14ac:dyDescent="0.3">
      <c r="B26" s="1" t="s">
        <v>156</v>
      </c>
      <c r="D26" s="8">
        <f>1450*6</f>
        <v>8700</v>
      </c>
      <c r="F26" s="23"/>
      <c r="J26"/>
      <c r="L26"/>
      <c r="O26"/>
    </row>
    <row r="27" spans="1:15" s="1" customFormat="1" x14ac:dyDescent="0.3">
      <c r="B27" s="1" t="s">
        <v>155</v>
      </c>
      <c r="C27" s="16">
        <f>16.9*1.16*500</f>
        <v>9801.9999999999982</v>
      </c>
      <c r="D27" s="42">
        <f>E34</f>
        <v>32659.799999999996</v>
      </c>
      <c r="F27" s="23"/>
      <c r="J27"/>
      <c r="L27"/>
      <c r="O27"/>
    </row>
    <row r="28" spans="1:15" s="1" customFormat="1" x14ac:dyDescent="0.3">
      <c r="C28" s="8"/>
      <c r="F28" s="23"/>
      <c r="J28"/>
      <c r="L28"/>
      <c r="O28"/>
    </row>
    <row r="29" spans="1:15" s="1" customFormat="1" x14ac:dyDescent="0.3">
      <c r="A29"/>
      <c r="B29"/>
      <c r="C29" s="15">
        <f>SUM(C2:C27)</f>
        <v>202978</v>
      </c>
      <c r="D29" s="34">
        <f>SUM(D2:D28)</f>
        <v>111093.79999999999</v>
      </c>
      <c r="E29" s="15">
        <f>SUM(E2:E27)</f>
        <v>188451.8</v>
      </c>
      <c r="F29" s="8"/>
      <c r="J29"/>
      <c r="L29"/>
      <c r="O29"/>
    </row>
    <row r="30" spans="1:15" x14ac:dyDescent="0.3">
      <c r="C30" s="38">
        <f>H4-C29</f>
        <v>478</v>
      </c>
    </row>
    <row r="31" spans="1:15" x14ac:dyDescent="0.3">
      <c r="C31" s="1" t="s">
        <v>159</v>
      </c>
      <c r="D31" s="1" t="s">
        <v>160</v>
      </c>
      <c r="E31" s="1" t="s">
        <v>161</v>
      </c>
    </row>
    <row r="32" spans="1:15" x14ac:dyDescent="0.3">
      <c r="B32" t="s">
        <v>157</v>
      </c>
      <c r="C32" s="1">
        <f>15.75*1.16</f>
        <v>18.27</v>
      </c>
      <c r="D32" s="1">
        <v>500</v>
      </c>
      <c r="E32" s="1">
        <f>C32*D32</f>
        <v>9135</v>
      </c>
      <c r="G32" s="3"/>
    </row>
    <row r="33" spans="1:12" x14ac:dyDescent="0.3">
      <c r="B33" t="s">
        <v>158</v>
      </c>
      <c r="C33" s="1">
        <f>16.9*1.16</f>
        <v>19.603999999999996</v>
      </c>
      <c r="D33" s="1">
        <v>1200</v>
      </c>
      <c r="E33" s="1">
        <f>C33*D33</f>
        <v>23524.799999999996</v>
      </c>
    </row>
    <row r="34" spans="1:12" x14ac:dyDescent="0.3">
      <c r="A34" s="1"/>
      <c r="E34" s="3">
        <f>SUM(E32:E33)</f>
        <v>32659.799999999996</v>
      </c>
    </row>
    <row r="35" spans="1:12" s="1" customFormat="1" x14ac:dyDescent="0.3">
      <c r="A35"/>
      <c r="B35"/>
      <c r="D35" s="1">
        <f>D34/16</f>
        <v>0</v>
      </c>
      <c r="F35" s="8"/>
      <c r="J35"/>
      <c r="L35"/>
    </row>
    <row r="36" spans="1:12" x14ac:dyDescent="0.3">
      <c r="A36" s="1"/>
      <c r="D36" s="1">
        <f>D35/30</f>
        <v>0</v>
      </c>
    </row>
    <row r="37" spans="1:12" s="1" customFormat="1" x14ac:dyDescent="0.3">
      <c r="B37"/>
      <c r="F37" s="8"/>
      <c r="J37"/>
      <c r="L37"/>
    </row>
    <row r="38" spans="1:12" s="1" customFormat="1" x14ac:dyDescent="0.3">
      <c r="B38"/>
      <c r="F38" s="8"/>
      <c r="J38"/>
      <c r="L38"/>
    </row>
    <row r="39" spans="1:12" s="1" customFormat="1" x14ac:dyDescent="0.3">
      <c r="A39"/>
      <c r="B39"/>
      <c r="F39" s="8"/>
      <c r="J39"/>
      <c r="L39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36D4-B2D7-4195-93FD-1E763D07BB0D}">
  <dimension ref="A1:O44"/>
  <sheetViews>
    <sheetView topLeftCell="A20" workbookViewId="0">
      <selection activeCell="C4" sqref="C4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41.88671875" style="1" bestFit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</cols>
  <sheetData>
    <row r="1" spans="2:13" x14ac:dyDescent="0.3">
      <c r="B1" s="2" t="s">
        <v>124</v>
      </c>
      <c r="C1" s="30" t="s">
        <v>93</v>
      </c>
      <c r="D1" s="30" t="s">
        <v>94</v>
      </c>
      <c r="G1" s="3" t="s">
        <v>96</v>
      </c>
      <c r="J1" s="3"/>
      <c r="L1" s="1"/>
    </row>
    <row r="2" spans="2:13" x14ac:dyDescent="0.3">
      <c r="B2" t="s">
        <v>44</v>
      </c>
      <c r="C2" s="16">
        <v>95000</v>
      </c>
      <c r="L2" s="1"/>
    </row>
    <row r="3" spans="2:13" x14ac:dyDescent="0.3">
      <c r="B3" t="s">
        <v>45</v>
      </c>
      <c r="C3" s="16">
        <f>H28</f>
        <v>25250</v>
      </c>
      <c r="G3" s="1" t="s">
        <v>137</v>
      </c>
      <c r="H3" s="1">
        <v>100000</v>
      </c>
      <c r="L3" s="1"/>
    </row>
    <row r="4" spans="2:13" x14ac:dyDescent="0.3">
      <c r="B4" t="s">
        <v>16</v>
      </c>
      <c r="C4" s="8"/>
      <c r="G4" s="1" t="s">
        <v>151</v>
      </c>
      <c r="H4" s="1">
        <v>65824</v>
      </c>
      <c r="L4" s="1"/>
    </row>
    <row r="5" spans="2:13" x14ac:dyDescent="0.3">
      <c r="B5" t="s">
        <v>71</v>
      </c>
      <c r="C5" s="8"/>
      <c r="L5" s="1"/>
    </row>
    <row r="6" spans="2:13" x14ac:dyDescent="0.3">
      <c r="B6" s="33" t="s">
        <v>31</v>
      </c>
      <c r="H6" s="15">
        <f>SUM(H2:H5)</f>
        <v>165824</v>
      </c>
      <c r="L6" s="1"/>
    </row>
    <row r="7" spans="2:13" x14ac:dyDescent="0.3">
      <c r="B7" t="s">
        <v>8</v>
      </c>
      <c r="C7" s="8"/>
      <c r="D7" s="8"/>
      <c r="E7" s="8"/>
      <c r="G7" s="1" t="s">
        <v>90</v>
      </c>
      <c r="H7" s="35">
        <f>H6-C34-D34</f>
        <v>35043.439999999988</v>
      </c>
      <c r="L7" s="1"/>
    </row>
    <row r="8" spans="2:13" x14ac:dyDescent="0.3">
      <c r="B8" t="s">
        <v>32</v>
      </c>
      <c r="L8">
        <f>9*60*13.6</f>
        <v>7344</v>
      </c>
    </row>
    <row r="9" spans="2:13" x14ac:dyDescent="0.3">
      <c r="B9" t="s">
        <v>95</v>
      </c>
      <c r="D9" s="8"/>
      <c r="E9" s="8"/>
      <c r="L9">
        <f>L8/150</f>
        <v>48.96</v>
      </c>
    </row>
    <row r="10" spans="2:13" x14ac:dyDescent="0.3">
      <c r="B10" t="s">
        <v>34</v>
      </c>
      <c r="G10" t="s">
        <v>88</v>
      </c>
      <c r="H10" s="1">
        <v>4000</v>
      </c>
    </row>
    <row r="11" spans="2:13" x14ac:dyDescent="0.3">
      <c r="B11" t="s">
        <v>48</v>
      </c>
      <c r="C11" s="8"/>
      <c r="G11" t="s">
        <v>64</v>
      </c>
      <c r="H11" s="1">
        <v>4000</v>
      </c>
    </row>
    <row r="12" spans="2:13" x14ac:dyDescent="0.3">
      <c r="B12" t="s">
        <v>50</v>
      </c>
      <c r="C12" s="8"/>
      <c r="E12" s="29">
        <v>49247.8</v>
      </c>
      <c r="G12" t="s">
        <v>65</v>
      </c>
      <c r="H12" s="1">
        <v>4000</v>
      </c>
      <c r="M12" s="1" t="s">
        <v>152</v>
      </c>
    </row>
    <row r="13" spans="2:13" x14ac:dyDescent="0.3">
      <c r="B13" t="s">
        <v>51</v>
      </c>
      <c r="C13" s="8"/>
      <c r="E13" s="8"/>
      <c r="G13" t="s">
        <v>66</v>
      </c>
      <c r="H13" s="1">
        <v>3000</v>
      </c>
    </row>
    <row r="14" spans="2:13" x14ac:dyDescent="0.3">
      <c r="B14" t="s">
        <v>49</v>
      </c>
      <c r="C14" s="8"/>
      <c r="G14" t="s">
        <v>67</v>
      </c>
      <c r="H14" s="1">
        <v>1950</v>
      </c>
    </row>
    <row r="15" spans="2:13" x14ac:dyDescent="0.3">
      <c r="B15" t="s">
        <v>54</v>
      </c>
      <c r="C15" s="8"/>
      <c r="G15" s="1" t="s">
        <v>134</v>
      </c>
      <c r="H15" s="1">
        <f>2200/6*4-150</f>
        <v>1316.6666666666667</v>
      </c>
    </row>
    <row r="16" spans="2:13" x14ac:dyDescent="0.3">
      <c r="B16" t="s">
        <v>52</v>
      </c>
      <c r="C16" s="8"/>
      <c r="G16" t="s">
        <v>22</v>
      </c>
      <c r="H16" s="1">
        <v>3000</v>
      </c>
    </row>
    <row r="17" spans="1:15" x14ac:dyDescent="0.3">
      <c r="B17" t="s">
        <v>105</v>
      </c>
      <c r="C17" s="16">
        <f>H6*0.04</f>
        <v>6632.96</v>
      </c>
      <c r="E17" s="8"/>
      <c r="G17" t="s">
        <v>135</v>
      </c>
      <c r="H17" s="1">
        <v>3000</v>
      </c>
    </row>
    <row r="18" spans="1:15" x14ac:dyDescent="0.3">
      <c r="B18" t="s">
        <v>55</v>
      </c>
      <c r="D18" s="8"/>
      <c r="E18" s="8"/>
      <c r="G18"/>
      <c r="H18" s="3">
        <f>SUM(H10:H17)</f>
        <v>24266.666666666668</v>
      </c>
    </row>
    <row r="19" spans="1:15" x14ac:dyDescent="0.3">
      <c r="A19" s="1"/>
      <c r="B19" t="s">
        <v>55</v>
      </c>
      <c r="E19" s="8"/>
      <c r="G19"/>
      <c r="H19" s="3"/>
    </row>
    <row r="20" spans="1:15" s="1" customFormat="1" x14ac:dyDescent="0.3">
      <c r="B20" s="1" t="s">
        <v>148</v>
      </c>
      <c r="D20" s="8"/>
      <c r="F20" s="8"/>
      <c r="G20" t="s">
        <v>88</v>
      </c>
      <c r="H20" s="1">
        <v>4000</v>
      </c>
      <c r="J20"/>
      <c r="L20"/>
      <c r="O20"/>
    </row>
    <row r="21" spans="1:15" s="1" customFormat="1" x14ac:dyDescent="0.3">
      <c r="B21" s="1" t="s">
        <v>91</v>
      </c>
      <c r="E21" s="8"/>
      <c r="F21" s="8"/>
      <c r="G21" t="s">
        <v>64</v>
      </c>
      <c r="H21" s="1">
        <v>4000</v>
      </c>
      <c r="J21"/>
      <c r="L21"/>
      <c r="O21"/>
    </row>
    <row r="22" spans="1:15" s="1" customFormat="1" x14ac:dyDescent="0.3">
      <c r="B22" s="1" t="s">
        <v>106</v>
      </c>
      <c r="F22" s="8"/>
      <c r="G22" t="s">
        <v>65</v>
      </c>
      <c r="H22" s="1">
        <v>4000</v>
      </c>
      <c r="J22"/>
      <c r="L22"/>
      <c r="O22"/>
    </row>
    <row r="23" spans="1:15" s="1" customFormat="1" x14ac:dyDescent="0.3">
      <c r="B23" s="1" t="s">
        <v>108</v>
      </c>
      <c r="C23" s="8"/>
      <c r="F23" s="8"/>
      <c r="G23" t="s">
        <v>66</v>
      </c>
      <c r="H23" s="1">
        <v>3000</v>
      </c>
      <c r="J23"/>
      <c r="L23"/>
      <c r="O23"/>
    </row>
    <row r="24" spans="1:15" s="1" customFormat="1" x14ac:dyDescent="0.3">
      <c r="B24" s="1" t="s">
        <v>109</v>
      </c>
      <c r="C24" s="8"/>
      <c r="F24" s="23"/>
      <c r="G24" t="s">
        <v>67</v>
      </c>
      <c r="H24" s="1">
        <v>1950</v>
      </c>
      <c r="J24"/>
      <c r="L24"/>
      <c r="O24"/>
    </row>
    <row r="25" spans="1:15" s="1" customFormat="1" x14ac:dyDescent="0.3">
      <c r="B25" s="8" t="s">
        <v>126</v>
      </c>
      <c r="C25" s="8"/>
      <c r="F25" s="23"/>
      <c r="G25" s="1" t="s">
        <v>134</v>
      </c>
      <c r="H25" s="1">
        <v>1300</v>
      </c>
      <c r="J25"/>
      <c r="L25"/>
      <c r="O25"/>
    </row>
    <row r="26" spans="1:15" s="1" customFormat="1" x14ac:dyDescent="0.3">
      <c r="B26" s="1" t="s">
        <v>147</v>
      </c>
      <c r="C26" s="8"/>
      <c r="F26" s="23"/>
      <c r="G26" t="s">
        <v>22</v>
      </c>
      <c r="H26" s="1">
        <v>3500</v>
      </c>
      <c r="J26"/>
      <c r="L26"/>
      <c r="O26"/>
    </row>
    <row r="27" spans="1:15" s="1" customFormat="1" x14ac:dyDescent="0.3">
      <c r="B27" s="1" t="s">
        <v>145</v>
      </c>
      <c r="C27" s="8"/>
      <c r="F27" s="23"/>
      <c r="G27" t="s">
        <v>135</v>
      </c>
      <c r="H27" s="1">
        <v>3500</v>
      </c>
      <c r="J27"/>
      <c r="L27"/>
      <c r="O27"/>
    </row>
    <row r="28" spans="1:15" s="1" customFormat="1" x14ac:dyDescent="0.3">
      <c r="B28" s="1" t="s">
        <v>146</v>
      </c>
      <c r="C28" s="8"/>
      <c r="F28" s="23"/>
      <c r="G28"/>
      <c r="H28" s="3">
        <f>SUM(H20:H27)</f>
        <v>25250</v>
      </c>
      <c r="J28"/>
      <c r="L28"/>
      <c r="O28"/>
    </row>
    <row r="29" spans="1:15" s="1" customFormat="1" x14ac:dyDescent="0.3">
      <c r="B29" s="1" t="s">
        <v>144</v>
      </c>
      <c r="C29" s="8"/>
      <c r="D29" s="8"/>
      <c r="F29" s="23"/>
      <c r="G29"/>
      <c r="H29" s="3"/>
      <c r="J29"/>
      <c r="L29"/>
      <c r="O29"/>
    </row>
    <row r="30" spans="1:15" s="1" customFormat="1" x14ac:dyDescent="0.3">
      <c r="B30" s="1" t="s">
        <v>138</v>
      </c>
      <c r="C30" s="8"/>
      <c r="E30" s="1">
        <f>47000-D30</f>
        <v>47000</v>
      </c>
      <c r="F30" s="23"/>
      <c r="G30"/>
      <c r="H30" s="3"/>
      <c r="J30"/>
      <c r="L30"/>
      <c r="O30"/>
    </row>
    <row r="31" spans="1:15" s="1" customFormat="1" x14ac:dyDescent="0.3">
      <c r="B31" s="1" t="s">
        <v>139</v>
      </c>
      <c r="C31" s="8"/>
      <c r="F31" s="23"/>
      <c r="J31"/>
      <c r="L31"/>
      <c r="O31"/>
    </row>
    <row r="32" spans="1:15" s="1" customFormat="1" x14ac:dyDescent="0.3">
      <c r="B32" s="1" t="s">
        <v>91</v>
      </c>
      <c r="C32" s="16">
        <f>16.8*200*1.16</f>
        <v>3897.6</v>
      </c>
      <c r="F32" s="23"/>
      <c r="J32"/>
      <c r="L32"/>
      <c r="O32"/>
    </row>
    <row r="33" spans="1:15" s="1" customFormat="1" x14ac:dyDescent="0.3">
      <c r="B33" s="1" t="s">
        <v>150</v>
      </c>
      <c r="C33" s="8">
        <f>16.8*1000</f>
        <v>16800</v>
      </c>
      <c r="F33" s="23"/>
      <c r="J33"/>
      <c r="L33"/>
      <c r="O33"/>
    </row>
    <row r="34" spans="1:15" s="1" customFormat="1" x14ac:dyDescent="0.3">
      <c r="A34"/>
      <c r="B34"/>
      <c r="C34" s="15">
        <f>SUM(C2:C32)</f>
        <v>130780.56000000001</v>
      </c>
      <c r="D34" s="34">
        <f>SUM(D2:D33)</f>
        <v>0</v>
      </c>
      <c r="E34" s="15">
        <f>SUM(E2:E32)</f>
        <v>96247.8</v>
      </c>
      <c r="F34" s="8"/>
      <c r="J34"/>
      <c r="L34"/>
      <c r="O34"/>
    </row>
    <row r="35" spans="1:15" x14ac:dyDescent="0.3">
      <c r="G35" s="1">
        <v>99300</v>
      </c>
    </row>
    <row r="36" spans="1:15" x14ac:dyDescent="0.3">
      <c r="G36" s="1">
        <v>27000</v>
      </c>
    </row>
    <row r="37" spans="1:15" x14ac:dyDescent="0.3">
      <c r="G37" s="3">
        <f>G35-G36</f>
        <v>72300</v>
      </c>
    </row>
    <row r="38" spans="1:15" x14ac:dyDescent="0.3">
      <c r="G38" s="1">
        <v>11000</v>
      </c>
    </row>
    <row r="39" spans="1:15" x14ac:dyDescent="0.3">
      <c r="A39" s="1"/>
      <c r="G39" s="1">
        <f>G37-G38</f>
        <v>61300</v>
      </c>
    </row>
    <row r="40" spans="1:15" s="1" customFormat="1" x14ac:dyDescent="0.3">
      <c r="A40"/>
      <c r="B40"/>
      <c r="F40" s="8"/>
      <c r="J40"/>
      <c r="L40"/>
    </row>
    <row r="41" spans="1:15" x14ac:dyDescent="0.3">
      <c r="A41" s="1"/>
    </row>
    <row r="42" spans="1:15" s="1" customFormat="1" x14ac:dyDescent="0.3">
      <c r="B42"/>
      <c r="F42" s="8"/>
      <c r="J42"/>
      <c r="L42"/>
    </row>
    <row r="43" spans="1:15" s="1" customFormat="1" x14ac:dyDescent="0.3">
      <c r="B43"/>
      <c r="F43" s="8"/>
      <c r="J43"/>
      <c r="L43"/>
    </row>
    <row r="44" spans="1:15" s="1" customFormat="1" x14ac:dyDescent="0.3">
      <c r="A44"/>
      <c r="B44"/>
      <c r="F44" s="8"/>
      <c r="J44"/>
      <c r="L44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7ACB-8C88-423E-AEF9-A3FA210DCF83}">
  <dimension ref="A1:O44"/>
  <sheetViews>
    <sheetView topLeftCell="A8" workbookViewId="0">
      <selection activeCell="D15" sqref="D15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41.21875" style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</cols>
  <sheetData>
    <row r="1" spans="2:13" x14ac:dyDescent="0.3">
      <c r="B1" s="2" t="s">
        <v>124</v>
      </c>
      <c r="C1" s="30" t="s">
        <v>93</v>
      </c>
      <c r="D1" s="30" t="s">
        <v>94</v>
      </c>
      <c r="G1" s="3" t="s">
        <v>96</v>
      </c>
      <c r="J1" s="3" t="s">
        <v>96</v>
      </c>
      <c r="L1" s="1"/>
    </row>
    <row r="2" spans="2:13" x14ac:dyDescent="0.3">
      <c r="B2" t="s">
        <v>44</v>
      </c>
      <c r="C2" s="16">
        <v>73000</v>
      </c>
      <c r="D2" s="16">
        <v>22000</v>
      </c>
      <c r="G2" s="1" t="s">
        <v>136</v>
      </c>
      <c r="H2" s="1">
        <f>22000+16000+9000</f>
        <v>47000</v>
      </c>
      <c r="K2" s="1">
        <f>9.08*90</f>
        <v>817.2</v>
      </c>
      <c r="L2" s="1">
        <v>65</v>
      </c>
      <c r="M2" s="1">
        <f>K2*L2</f>
        <v>53118</v>
      </c>
    </row>
    <row r="3" spans="2:13" x14ac:dyDescent="0.3">
      <c r="B3" t="s">
        <v>45</v>
      </c>
      <c r="C3" s="16">
        <v>10200</v>
      </c>
      <c r="D3" s="16">
        <v>14950</v>
      </c>
      <c r="G3" s="1" t="s">
        <v>137</v>
      </c>
      <c r="H3" s="1">
        <f>41612-(41612*0.04)</f>
        <v>39947.519999999997</v>
      </c>
      <c r="K3" s="1" t="s">
        <v>125</v>
      </c>
      <c r="L3" s="1"/>
      <c r="M3" s="38">
        <v>-15600</v>
      </c>
    </row>
    <row r="4" spans="2:13" x14ac:dyDescent="0.3">
      <c r="B4" t="s">
        <v>16</v>
      </c>
      <c r="C4" s="8"/>
      <c r="G4" s="1" t="s">
        <v>133</v>
      </c>
      <c r="H4" s="1">
        <f>103456-(103456*0.04)</f>
        <v>99317.759999999995</v>
      </c>
      <c r="L4" s="1"/>
      <c r="M4" s="3">
        <f>SUM(M2:M3)</f>
        <v>37518</v>
      </c>
    </row>
    <row r="5" spans="2:13" x14ac:dyDescent="0.3">
      <c r="B5" t="s">
        <v>71</v>
      </c>
      <c r="C5" s="8"/>
      <c r="D5" s="8"/>
      <c r="G5" s="1" t="s">
        <v>133</v>
      </c>
      <c r="H5" s="1">
        <f>82319+30884</f>
        <v>113203</v>
      </c>
    </row>
    <row r="6" spans="2:13" x14ac:dyDescent="0.3">
      <c r="B6" s="33" t="s">
        <v>31</v>
      </c>
      <c r="D6" s="16">
        <v>15000</v>
      </c>
      <c r="H6" s="15">
        <f>SUM(H2:H5)</f>
        <v>299468.27999999997</v>
      </c>
    </row>
    <row r="7" spans="2:13" x14ac:dyDescent="0.3">
      <c r="B7" t="s">
        <v>8</v>
      </c>
      <c r="C7" s="8"/>
      <c r="D7" s="8"/>
      <c r="E7" s="8"/>
      <c r="G7" s="1" t="s">
        <v>90</v>
      </c>
      <c r="H7" s="35">
        <f>H6-C34-D34</f>
        <v>1552.5399999999499</v>
      </c>
    </row>
    <row r="8" spans="2:13" x14ac:dyDescent="0.3">
      <c r="B8" t="s">
        <v>32</v>
      </c>
    </row>
    <row r="9" spans="2:13" x14ac:dyDescent="0.3">
      <c r="B9" t="s">
        <v>95</v>
      </c>
      <c r="D9" s="8"/>
      <c r="E9" s="8"/>
    </row>
    <row r="10" spans="2:13" x14ac:dyDescent="0.3">
      <c r="B10" t="s">
        <v>34</v>
      </c>
      <c r="G10" t="s">
        <v>88</v>
      </c>
      <c r="H10" s="1">
        <v>4000</v>
      </c>
    </row>
    <row r="11" spans="2:13" x14ac:dyDescent="0.3">
      <c r="B11" t="s">
        <v>48</v>
      </c>
      <c r="C11" s="8"/>
      <c r="D11" s="8"/>
      <c r="G11" t="s">
        <v>64</v>
      </c>
      <c r="H11" s="1">
        <v>4000</v>
      </c>
    </row>
    <row r="12" spans="2:13" x14ac:dyDescent="0.3">
      <c r="B12" t="s">
        <v>50</v>
      </c>
      <c r="C12" s="8"/>
      <c r="E12" s="29">
        <v>49247.8</v>
      </c>
      <c r="G12" t="s">
        <v>65</v>
      </c>
      <c r="H12" s="1">
        <v>4000</v>
      </c>
      <c r="K12" s="1" t="s">
        <v>141</v>
      </c>
      <c r="L12" s="8">
        <v>22000</v>
      </c>
    </row>
    <row r="13" spans="2:13" x14ac:dyDescent="0.3">
      <c r="B13" t="s">
        <v>51</v>
      </c>
      <c r="C13" s="8"/>
      <c r="D13" s="8"/>
      <c r="E13" s="8"/>
      <c r="G13" t="s">
        <v>66</v>
      </c>
      <c r="H13" s="1">
        <v>3000</v>
      </c>
      <c r="K13" s="1" t="s">
        <v>142</v>
      </c>
      <c r="L13" s="1">
        <v>20000</v>
      </c>
    </row>
    <row r="14" spans="2:13" x14ac:dyDescent="0.3">
      <c r="B14" t="s">
        <v>49</v>
      </c>
      <c r="C14" s="8"/>
      <c r="D14" s="8"/>
      <c r="G14" t="s">
        <v>67</v>
      </c>
      <c r="H14" s="1">
        <v>1950</v>
      </c>
      <c r="K14" s="1" t="s">
        <v>143</v>
      </c>
      <c r="L14" s="1">
        <v>13400</v>
      </c>
    </row>
    <row r="15" spans="2:13" x14ac:dyDescent="0.3">
      <c r="B15" t="s">
        <v>54</v>
      </c>
      <c r="C15" s="8"/>
      <c r="D15" s="16">
        <v>15660</v>
      </c>
      <c r="G15" s="1" t="s">
        <v>134</v>
      </c>
      <c r="H15" s="1">
        <v>2200</v>
      </c>
      <c r="L15" s="6">
        <f>SUM(L12:L14)</f>
        <v>55400</v>
      </c>
    </row>
    <row r="16" spans="2:13" x14ac:dyDescent="0.3">
      <c r="B16" t="s">
        <v>52</v>
      </c>
      <c r="C16" s="8"/>
      <c r="G16" t="s">
        <v>22</v>
      </c>
      <c r="H16" s="1">
        <v>3000</v>
      </c>
    </row>
    <row r="17" spans="1:15" x14ac:dyDescent="0.3">
      <c r="B17" t="s">
        <v>105</v>
      </c>
      <c r="C17" s="8"/>
      <c r="D17" s="16">
        <f>1664+4138</f>
        <v>5802</v>
      </c>
      <c r="E17" s="8"/>
      <c r="G17" t="s">
        <v>135</v>
      </c>
      <c r="H17" s="1">
        <v>3000</v>
      </c>
    </row>
    <row r="18" spans="1:15" x14ac:dyDescent="0.3">
      <c r="B18" t="s">
        <v>55</v>
      </c>
      <c r="D18" s="16">
        <v>37000</v>
      </c>
      <c r="E18" s="8"/>
      <c r="G18"/>
      <c r="H18" s="3">
        <f>SUM(H10:H17)</f>
        <v>25150</v>
      </c>
    </row>
    <row r="19" spans="1:15" x14ac:dyDescent="0.3">
      <c r="A19" s="1"/>
      <c r="B19" t="s">
        <v>55</v>
      </c>
      <c r="E19" s="8"/>
      <c r="G19" s="2" t="s">
        <v>94</v>
      </c>
      <c r="H19" s="3"/>
      <c r="L19" s="39"/>
    </row>
    <row r="20" spans="1:15" s="1" customFormat="1" x14ac:dyDescent="0.3">
      <c r="B20" s="1" t="s">
        <v>148</v>
      </c>
      <c r="D20" s="16">
        <v>8460.6</v>
      </c>
      <c r="F20" s="8"/>
      <c r="G20" t="s">
        <v>88</v>
      </c>
      <c r="H20" s="1">
        <v>6000</v>
      </c>
      <c r="J20"/>
      <c r="L20">
        <v>4.8388767700000002E-2</v>
      </c>
      <c r="M20" s="1" t="s">
        <v>149</v>
      </c>
      <c r="O20"/>
    </row>
    <row r="21" spans="1:15" s="1" customFormat="1" x14ac:dyDescent="0.3">
      <c r="B21" s="1" t="s">
        <v>91</v>
      </c>
      <c r="D21" s="16">
        <f>16.8*1.16*500</f>
        <v>9744</v>
      </c>
      <c r="E21" s="8"/>
      <c r="F21" s="8"/>
      <c r="G21" t="s">
        <v>64</v>
      </c>
      <c r="H21" s="1">
        <v>1000</v>
      </c>
      <c r="J21"/>
      <c r="L21" s="40"/>
      <c r="O21"/>
    </row>
    <row r="22" spans="1:15" s="1" customFormat="1" x14ac:dyDescent="0.3">
      <c r="B22" s="1" t="s">
        <v>106</v>
      </c>
      <c r="D22" s="8"/>
      <c r="F22" s="8"/>
      <c r="G22" t="s">
        <v>65</v>
      </c>
      <c r="H22" s="1">
        <v>1000</v>
      </c>
      <c r="J22"/>
      <c r="L22"/>
      <c r="O22"/>
    </row>
    <row r="23" spans="1:15" s="1" customFormat="1" x14ac:dyDescent="0.3">
      <c r="B23" s="1" t="s">
        <v>108</v>
      </c>
      <c r="C23" s="8"/>
      <c r="F23" s="8"/>
      <c r="G23" t="s">
        <v>66</v>
      </c>
      <c r="H23" s="1">
        <v>1000</v>
      </c>
      <c r="J23"/>
      <c r="L23"/>
      <c r="O23"/>
    </row>
    <row r="24" spans="1:15" s="1" customFormat="1" x14ac:dyDescent="0.3">
      <c r="B24" s="1" t="s">
        <v>109</v>
      </c>
      <c r="C24" s="8"/>
      <c r="F24" s="23"/>
      <c r="G24" t="s">
        <v>67</v>
      </c>
      <c r="H24" s="1">
        <v>1950</v>
      </c>
      <c r="J24"/>
      <c r="L24"/>
      <c r="O24"/>
    </row>
    <row r="25" spans="1:15" s="1" customFormat="1" x14ac:dyDescent="0.3">
      <c r="B25" s="8" t="s">
        <v>126</v>
      </c>
      <c r="C25" s="8"/>
      <c r="D25" s="16">
        <v>7389.2</v>
      </c>
      <c r="F25" s="23"/>
      <c r="G25" s="1" t="s">
        <v>134</v>
      </c>
      <c r="J25" s="6">
        <f>SUM(H20:H24)</f>
        <v>10950</v>
      </c>
      <c r="L25">
        <f>16.8*500*1.16</f>
        <v>9744</v>
      </c>
      <c r="O25"/>
    </row>
    <row r="26" spans="1:15" s="1" customFormat="1" x14ac:dyDescent="0.3">
      <c r="B26" s="1" t="s">
        <v>147</v>
      </c>
      <c r="C26" s="8"/>
      <c r="D26" s="16">
        <v>9570</v>
      </c>
      <c r="F26" s="23"/>
      <c r="G26" t="s">
        <v>22</v>
      </c>
      <c r="H26" s="1">
        <v>2000</v>
      </c>
      <c r="J26"/>
      <c r="L26"/>
      <c r="O26"/>
    </row>
    <row r="27" spans="1:15" s="1" customFormat="1" x14ac:dyDescent="0.3">
      <c r="B27" s="1" t="s">
        <v>145</v>
      </c>
      <c r="C27" s="8"/>
      <c r="D27" s="16">
        <v>246.44</v>
      </c>
      <c r="F27" s="23"/>
      <c r="G27" t="s">
        <v>135</v>
      </c>
      <c r="H27" s="1">
        <v>2000</v>
      </c>
      <c r="J27"/>
      <c r="L27"/>
      <c r="O27"/>
    </row>
    <row r="28" spans="1:15" s="1" customFormat="1" x14ac:dyDescent="0.3">
      <c r="B28" s="1" t="s">
        <v>146</v>
      </c>
      <c r="C28" s="8"/>
      <c r="D28" s="16">
        <v>593.5</v>
      </c>
      <c r="F28" s="23"/>
      <c r="G28"/>
      <c r="H28" s="3">
        <f>SUM(H20:H27)</f>
        <v>14950</v>
      </c>
      <c r="J28"/>
      <c r="L28"/>
      <c r="O28"/>
    </row>
    <row r="29" spans="1:15" s="1" customFormat="1" x14ac:dyDescent="0.3">
      <c r="B29" s="1" t="s">
        <v>144</v>
      </c>
      <c r="C29" s="8"/>
      <c r="D29" s="16">
        <v>7900</v>
      </c>
      <c r="F29" s="23"/>
      <c r="G29"/>
      <c r="H29" s="3"/>
      <c r="J29"/>
      <c r="L29"/>
      <c r="O29"/>
    </row>
    <row r="30" spans="1:15" s="1" customFormat="1" x14ac:dyDescent="0.3">
      <c r="B30" s="1" t="s">
        <v>138</v>
      </c>
      <c r="C30" s="8"/>
      <c r="D30" s="16">
        <v>12000</v>
      </c>
      <c r="E30" s="1">
        <f>47000-D30</f>
        <v>35000</v>
      </c>
      <c r="F30" s="23"/>
      <c r="G30"/>
      <c r="H30" s="3"/>
      <c r="J30"/>
      <c r="L30"/>
      <c r="O30"/>
    </row>
    <row r="31" spans="1:15" s="1" customFormat="1" x14ac:dyDescent="0.3">
      <c r="B31" s="1" t="s">
        <v>139</v>
      </c>
      <c r="C31" s="8"/>
      <c r="D31" s="16">
        <v>20000</v>
      </c>
      <c r="F31" s="23"/>
      <c r="J31"/>
      <c r="L31"/>
      <c r="O31"/>
    </row>
    <row r="32" spans="1:15" s="1" customFormat="1" x14ac:dyDescent="0.3">
      <c r="B32" s="1" t="s">
        <v>91</v>
      </c>
      <c r="D32" s="16">
        <v>13400</v>
      </c>
      <c r="F32" s="23"/>
      <c r="J32"/>
      <c r="L32"/>
      <c r="O32"/>
    </row>
    <row r="33" spans="1:15" s="1" customFormat="1" x14ac:dyDescent="0.3">
      <c r="B33" s="1" t="s">
        <v>140</v>
      </c>
      <c r="D33" s="16">
        <v>15000</v>
      </c>
      <c r="F33" s="23"/>
      <c r="J33"/>
      <c r="L33"/>
      <c r="O33"/>
    </row>
    <row r="34" spans="1:15" s="1" customFormat="1" x14ac:dyDescent="0.3">
      <c r="A34"/>
      <c r="B34"/>
      <c r="C34" s="15">
        <f>SUM(C2:C32)</f>
        <v>83200</v>
      </c>
      <c r="D34" s="34">
        <f>SUM(D2:D33)</f>
        <v>214715.74000000002</v>
      </c>
      <c r="E34" s="15">
        <f>SUM(E2:E32)</f>
        <v>84247.8</v>
      </c>
      <c r="F34" s="8"/>
      <c r="J34"/>
      <c r="L34"/>
      <c r="O34"/>
    </row>
    <row r="35" spans="1:15" x14ac:dyDescent="0.3">
      <c r="G35" s="1">
        <v>99300</v>
      </c>
    </row>
    <row r="36" spans="1:15" x14ac:dyDescent="0.3">
      <c r="G36" s="1">
        <v>27000</v>
      </c>
    </row>
    <row r="37" spans="1:15" x14ac:dyDescent="0.3">
      <c r="G37" s="3">
        <f>G35-G36</f>
        <v>72300</v>
      </c>
    </row>
    <row r="38" spans="1:15" x14ac:dyDescent="0.3">
      <c r="G38" s="1">
        <v>11000</v>
      </c>
    </row>
    <row r="39" spans="1:15" x14ac:dyDescent="0.3">
      <c r="A39" s="1"/>
      <c r="G39" s="1">
        <f>G37-G38</f>
        <v>61300</v>
      </c>
    </row>
    <row r="40" spans="1:15" s="1" customFormat="1" x14ac:dyDescent="0.3">
      <c r="A40"/>
      <c r="B40"/>
      <c r="F40" s="8"/>
      <c r="J40"/>
      <c r="L40"/>
    </row>
    <row r="41" spans="1:15" x14ac:dyDescent="0.3">
      <c r="A41" s="1"/>
    </row>
    <row r="42" spans="1:15" s="1" customFormat="1" x14ac:dyDescent="0.3">
      <c r="B42"/>
      <c r="F42" s="8"/>
      <c r="J42"/>
      <c r="L42"/>
    </row>
    <row r="43" spans="1:15" s="1" customFormat="1" x14ac:dyDescent="0.3">
      <c r="B43"/>
      <c r="F43" s="8"/>
      <c r="J43"/>
      <c r="L43"/>
    </row>
    <row r="44" spans="1:15" s="1" customFormat="1" x14ac:dyDescent="0.3">
      <c r="A44"/>
      <c r="B44"/>
      <c r="F44" s="8"/>
      <c r="J44"/>
      <c r="L44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54B1-5253-4702-8C9C-0BC139D6ABCE}">
  <dimension ref="B1:O44"/>
  <sheetViews>
    <sheetView workbookViewId="0">
      <selection activeCell="M4" sqref="M4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17.109375" style="1" bestFit="1" customWidth="1"/>
    <col min="8" max="8" width="14.6640625" style="1" customWidth="1"/>
    <col min="9" max="9" width="5" style="1" customWidth="1"/>
    <col min="11" max="11" width="11.5546875" style="1"/>
    <col min="12" max="12" width="14.6640625" bestFit="1" customWidth="1"/>
    <col min="13" max="14" width="11.5546875" style="1"/>
  </cols>
  <sheetData>
    <row r="1" spans="2:13" x14ac:dyDescent="0.3">
      <c r="B1" s="2" t="s">
        <v>124</v>
      </c>
      <c r="C1" s="30" t="s">
        <v>93</v>
      </c>
      <c r="D1" s="30" t="s">
        <v>94</v>
      </c>
      <c r="G1" s="3" t="s">
        <v>96</v>
      </c>
      <c r="J1" s="3" t="s">
        <v>96</v>
      </c>
      <c r="L1" s="1"/>
    </row>
    <row r="2" spans="2:13" x14ac:dyDescent="0.3">
      <c r="B2" t="s">
        <v>44</v>
      </c>
      <c r="C2" s="16">
        <v>95000</v>
      </c>
      <c r="D2" s="8"/>
      <c r="H2" s="1">
        <v>53100</v>
      </c>
      <c r="K2" s="1">
        <f>9.08*90</f>
        <v>817.2</v>
      </c>
      <c r="L2" s="1">
        <v>65</v>
      </c>
      <c r="M2" s="1">
        <f>K2*L2</f>
        <v>53118</v>
      </c>
    </row>
    <row r="3" spans="2:13" x14ac:dyDescent="0.3">
      <c r="B3" t="s">
        <v>45</v>
      </c>
      <c r="C3" s="16">
        <f>H17</f>
        <v>17800</v>
      </c>
      <c r="D3" s="8"/>
      <c r="G3" s="1" t="s">
        <v>131</v>
      </c>
      <c r="H3" s="1">
        <v>90000</v>
      </c>
      <c r="K3" s="1" t="s">
        <v>125</v>
      </c>
      <c r="L3" s="1"/>
      <c r="M3" s="38">
        <v>-15600</v>
      </c>
    </row>
    <row r="4" spans="2:13" x14ac:dyDescent="0.3">
      <c r="B4" t="s">
        <v>16</v>
      </c>
      <c r="C4" s="8"/>
      <c r="G4" s="1" t="s">
        <v>133</v>
      </c>
      <c r="H4" s="1">
        <v>78444.800000000003</v>
      </c>
      <c r="L4" s="1"/>
      <c r="M4" s="3">
        <f>SUM(M2:M3)</f>
        <v>37518</v>
      </c>
    </row>
    <row r="5" spans="2:13" x14ac:dyDescent="0.3">
      <c r="B5" t="s">
        <v>71</v>
      </c>
      <c r="C5" s="8"/>
      <c r="D5" s="8"/>
    </row>
    <row r="6" spans="2:13" x14ac:dyDescent="0.3">
      <c r="B6" s="33" t="s">
        <v>31</v>
      </c>
      <c r="D6" s="1">
        <v>15000</v>
      </c>
      <c r="H6" s="15">
        <f>SUM(H2:H5)</f>
        <v>221544.8</v>
      </c>
    </row>
    <row r="7" spans="2:13" x14ac:dyDescent="0.3">
      <c r="B7" t="s">
        <v>8</v>
      </c>
      <c r="C7" s="8"/>
      <c r="D7" s="8"/>
      <c r="E7" s="8"/>
      <c r="G7" s="1" t="s">
        <v>90</v>
      </c>
      <c r="H7" s="35">
        <f>H6-C34</f>
        <v>49621.149999999965</v>
      </c>
    </row>
    <row r="8" spans="2:13" x14ac:dyDescent="0.3">
      <c r="B8" t="s">
        <v>32</v>
      </c>
    </row>
    <row r="9" spans="2:13" x14ac:dyDescent="0.3">
      <c r="B9" t="s">
        <v>95</v>
      </c>
      <c r="D9" s="8"/>
      <c r="E9" s="8"/>
    </row>
    <row r="10" spans="2:13" x14ac:dyDescent="0.3">
      <c r="B10" t="s">
        <v>34</v>
      </c>
      <c r="G10" t="s">
        <v>88</v>
      </c>
      <c r="H10" s="1">
        <v>4000</v>
      </c>
    </row>
    <row r="11" spans="2:13" x14ac:dyDescent="0.3">
      <c r="B11" t="s">
        <v>45</v>
      </c>
      <c r="E11" s="8">
        <v>2500</v>
      </c>
      <c r="G11" t="s">
        <v>64</v>
      </c>
      <c r="H11" s="1">
        <v>4000</v>
      </c>
    </row>
    <row r="12" spans="2:13" x14ac:dyDescent="0.3">
      <c r="B12" t="s">
        <v>48</v>
      </c>
      <c r="C12" s="8"/>
      <c r="D12" s="8"/>
      <c r="G12" t="s">
        <v>65</v>
      </c>
      <c r="H12" s="1">
        <v>4000</v>
      </c>
    </row>
    <row r="13" spans="2:13" x14ac:dyDescent="0.3">
      <c r="B13" t="s">
        <v>50</v>
      </c>
      <c r="C13" s="8"/>
      <c r="E13" s="29">
        <v>49247.8</v>
      </c>
      <c r="G13" t="s">
        <v>66</v>
      </c>
      <c r="H13" s="1">
        <v>3000</v>
      </c>
    </row>
    <row r="14" spans="2:13" x14ac:dyDescent="0.3">
      <c r="B14" t="s">
        <v>51</v>
      </c>
      <c r="C14" s="8"/>
      <c r="D14" s="8"/>
      <c r="E14" s="8"/>
      <c r="G14" t="s">
        <v>67</v>
      </c>
      <c r="H14" s="1">
        <v>1950</v>
      </c>
    </row>
    <row r="15" spans="2:13" x14ac:dyDescent="0.3">
      <c r="B15" t="s">
        <v>49</v>
      </c>
      <c r="C15" s="8"/>
      <c r="D15" s="8"/>
      <c r="G15" s="1" t="s">
        <v>130</v>
      </c>
      <c r="H15" s="1">
        <f>500+350</f>
        <v>850</v>
      </c>
    </row>
    <row r="16" spans="2:13" x14ac:dyDescent="0.3">
      <c r="B16" t="s">
        <v>54</v>
      </c>
      <c r="C16" s="8"/>
      <c r="D16" s="8"/>
      <c r="G16"/>
    </row>
    <row r="17" spans="2:15" x14ac:dyDescent="0.3">
      <c r="B17" t="s">
        <v>52</v>
      </c>
      <c r="C17" s="8"/>
      <c r="G17"/>
      <c r="H17" s="3">
        <f>SUM(H10:H16)</f>
        <v>17800</v>
      </c>
    </row>
    <row r="18" spans="2:15" x14ac:dyDescent="0.3">
      <c r="B18" t="s">
        <v>105</v>
      </c>
      <c r="C18" s="8"/>
      <c r="E18" s="8">
        <v>12000</v>
      </c>
      <c r="G18"/>
      <c r="H18" s="3"/>
    </row>
    <row r="19" spans="2:15" x14ac:dyDescent="0.3">
      <c r="B19" t="s">
        <v>55</v>
      </c>
      <c r="E19" s="8">
        <f>9219.5*1.04</f>
        <v>9588.2800000000007</v>
      </c>
      <c r="G19"/>
      <c r="H19" s="3"/>
    </row>
    <row r="20" spans="2:15" s="1" customFormat="1" x14ac:dyDescent="0.3">
      <c r="B20" t="s">
        <v>55</v>
      </c>
      <c r="E20" s="8">
        <v>22800</v>
      </c>
      <c r="F20" s="8"/>
      <c r="G20"/>
      <c r="H20" s="3"/>
      <c r="J20"/>
      <c r="L20"/>
      <c r="O20"/>
    </row>
    <row r="21" spans="2:15" s="1" customFormat="1" x14ac:dyDescent="0.3">
      <c r="B21" s="1" t="s">
        <v>78</v>
      </c>
      <c r="D21" s="8"/>
      <c r="F21" s="8"/>
      <c r="G21"/>
      <c r="H21" s="3"/>
      <c r="J21"/>
      <c r="L21"/>
      <c r="O21"/>
    </row>
    <row r="22" spans="2:15" s="1" customFormat="1" x14ac:dyDescent="0.3">
      <c r="B22" s="1" t="s">
        <v>91</v>
      </c>
      <c r="E22" s="8"/>
      <c r="F22" s="8"/>
      <c r="G22"/>
      <c r="H22" s="3"/>
      <c r="J22"/>
      <c r="L22"/>
      <c r="O22"/>
    </row>
    <row r="23" spans="2:15" s="1" customFormat="1" x14ac:dyDescent="0.3">
      <c r="B23" s="1" t="s">
        <v>106</v>
      </c>
      <c r="D23" s="8"/>
      <c r="F23" s="8"/>
      <c r="G23"/>
      <c r="H23" s="3"/>
      <c r="J23"/>
      <c r="L23"/>
      <c r="O23"/>
    </row>
    <row r="24" spans="2:15" s="1" customFormat="1" x14ac:dyDescent="0.3">
      <c r="B24" s="1" t="s">
        <v>108</v>
      </c>
      <c r="C24" s="8"/>
      <c r="F24" s="8"/>
      <c r="G24"/>
      <c r="H24" s="3"/>
      <c r="J24"/>
      <c r="L24"/>
      <c r="O24"/>
    </row>
    <row r="25" spans="2:15" s="1" customFormat="1" x14ac:dyDescent="0.3">
      <c r="B25" s="1" t="s">
        <v>109</v>
      </c>
      <c r="C25" s="8"/>
      <c r="F25" s="23"/>
      <c r="G25"/>
      <c r="H25" s="3"/>
      <c r="J25"/>
      <c r="L25"/>
      <c r="O25"/>
    </row>
    <row r="26" spans="2:15" s="1" customFormat="1" x14ac:dyDescent="0.3">
      <c r="B26" s="8" t="s">
        <v>126</v>
      </c>
      <c r="C26" s="8"/>
      <c r="F26" s="23"/>
      <c r="G26"/>
      <c r="H26" s="3"/>
      <c r="J26"/>
      <c r="L26"/>
      <c r="O26"/>
    </row>
    <row r="27" spans="2:15" s="1" customFormat="1" x14ac:dyDescent="0.3">
      <c r="B27" s="1" t="s">
        <v>127</v>
      </c>
      <c r="C27" s="16">
        <v>3981.94</v>
      </c>
      <c r="F27" s="23"/>
      <c r="G27"/>
      <c r="H27" s="3"/>
      <c r="J27"/>
      <c r="L27"/>
      <c r="O27"/>
    </row>
    <row r="28" spans="2:15" s="1" customFormat="1" x14ac:dyDescent="0.3">
      <c r="B28" s="1" t="s">
        <v>128</v>
      </c>
      <c r="C28" s="16">
        <v>2041.71</v>
      </c>
      <c r="F28" s="23"/>
      <c r="G28"/>
      <c r="H28" s="3"/>
      <c r="J28"/>
      <c r="L28"/>
      <c r="O28"/>
    </row>
    <row r="29" spans="2:15" s="1" customFormat="1" x14ac:dyDescent="0.3">
      <c r="B29" s="1" t="s">
        <v>18</v>
      </c>
      <c r="D29" s="1">
        <v>10000</v>
      </c>
      <c r="F29" s="23"/>
      <c r="G29"/>
      <c r="H29" s="3"/>
      <c r="J29"/>
      <c r="L29"/>
      <c r="O29"/>
    </row>
    <row r="30" spans="2:15" s="1" customFormat="1" x14ac:dyDescent="0.3">
      <c r="B30" s="1" t="s">
        <v>120</v>
      </c>
      <c r="F30" s="23"/>
      <c r="G30"/>
      <c r="H30" s="3"/>
      <c r="J30"/>
      <c r="L30"/>
      <c r="O30"/>
    </row>
    <row r="31" spans="2:15" s="1" customFormat="1" x14ac:dyDescent="0.3">
      <c r="B31" s="1" t="s">
        <v>132</v>
      </c>
      <c r="C31" s="16">
        <v>15600</v>
      </c>
      <c r="F31" s="23"/>
      <c r="J31"/>
      <c r="L31"/>
      <c r="O31"/>
    </row>
    <row r="32" spans="2:15" s="1" customFormat="1" x14ac:dyDescent="0.3">
      <c r="B32" s="1" t="s">
        <v>129</v>
      </c>
      <c r="C32" s="16">
        <v>37500</v>
      </c>
      <c r="F32" s="23"/>
      <c r="J32"/>
      <c r="L32"/>
      <c r="O32"/>
    </row>
    <row r="33" spans="2:15" s="1" customFormat="1" x14ac:dyDescent="0.3">
      <c r="F33" s="23"/>
      <c r="J33"/>
      <c r="L33"/>
      <c r="O33"/>
    </row>
    <row r="34" spans="2:15" x14ac:dyDescent="0.3">
      <c r="C34" s="15">
        <f>SUM(C2:C33)</f>
        <v>171923.65000000002</v>
      </c>
      <c r="D34" s="34">
        <f>SUM(D2:D30)</f>
        <v>25000</v>
      </c>
      <c r="E34" s="15">
        <f>SUM(E2:E33)</f>
        <v>96136.08</v>
      </c>
    </row>
    <row r="37" spans="2:15" x14ac:dyDescent="0.3">
      <c r="B37" s="2" t="s">
        <v>110</v>
      </c>
    </row>
    <row r="38" spans="2:15" x14ac:dyDescent="0.3">
      <c r="B38" t="s">
        <v>114</v>
      </c>
      <c r="C38" s="1">
        <v>780</v>
      </c>
    </row>
    <row r="39" spans="2:15" s="1" customFormat="1" x14ac:dyDescent="0.3">
      <c r="B39" t="s">
        <v>119</v>
      </c>
      <c r="C39" s="1">
        <v>800</v>
      </c>
      <c r="F39" s="8"/>
      <c r="J39"/>
      <c r="L39"/>
    </row>
    <row r="40" spans="2:15" x14ac:dyDescent="0.3">
      <c r="B40" t="s">
        <v>115</v>
      </c>
      <c r="C40" s="1">
        <v>1500</v>
      </c>
    </row>
    <row r="41" spans="2:15" s="1" customFormat="1" x14ac:dyDescent="0.3">
      <c r="B41" t="s">
        <v>116</v>
      </c>
      <c r="C41" s="1">
        <v>1000</v>
      </c>
      <c r="F41" s="8"/>
      <c r="J41"/>
      <c r="L41"/>
    </row>
    <row r="42" spans="2:15" s="1" customFormat="1" x14ac:dyDescent="0.3">
      <c r="B42" t="s">
        <v>117</v>
      </c>
      <c r="C42" s="1">
        <v>700</v>
      </c>
      <c r="F42" s="8"/>
      <c r="J42"/>
      <c r="L42"/>
    </row>
    <row r="43" spans="2:15" s="1" customFormat="1" x14ac:dyDescent="0.3">
      <c r="B43" t="s">
        <v>118</v>
      </c>
      <c r="C43" s="1">
        <v>600</v>
      </c>
      <c r="F43" s="8"/>
      <c r="J43"/>
      <c r="L43"/>
    </row>
    <row r="44" spans="2:15" x14ac:dyDescent="0.3">
      <c r="C44" s="3">
        <f>SUM(C38:C43)</f>
        <v>5380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7957-4377-4A02-84AB-CC4B7FB94CA6}">
  <dimension ref="B1:O45"/>
  <sheetViews>
    <sheetView workbookViewId="0">
      <selection activeCell="E37" sqref="E37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1" max="11" width="11.5546875" style="1"/>
    <col min="12" max="12" width="14.6640625" bestFit="1" customWidth="1"/>
    <col min="13" max="14" width="11.5546875" style="1"/>
  </cols>
  <sheetData>
    <row r="1" spans="2:11" x14ac:dyDescent="0.3">
      <c r="B1" s="2" t="s">
        <v>104</v>
      </c>
      <c r="C1" s="30" t="s">
        <v>93</v>
      </c>
      <c r="D1" s="30" t="s">
        <v>94</v>
      </c>
      <c r="G1" s="3" t="s">
        <v>96</v>
      </c>
    </row>
    <row r="2" spans="2:11" x14ac:dyDescent="0.3">
      <c r="B2" t="s">
        <v>44</v>
      </c>
      <c r="C2" s="16">
        <v>125037</v>
      </c>
      <c r="D2" s="8"/>
      <c r="K2" s="1">
        <v>337000</v>
      </c>
    </row>
    <row r="3" spans="2:11" x14ac:dyDescent="0.3">
      <c r="B3" t="s">
        <v>44</v>
      </c>
      <c r="C3" s="8"/>
      <c r="D3" s="8"/>
      <c r="G3" s="1" t="s">
        <v>89</v>
      </c>
      <c r="H3" s="1">
        <v>198000</v>
      </c>
    </row>
    <row r="4" spans="2:11" x14ac:dyDescent="0.3">
      <c r="B4" t="s">
        <v>16</v>
      </c>
      <c r="C4" s="8"/>
    </row>
    <row r="5" spans="2:11" x14ac:dyDescent="0.3">
      <c r="B5" t="s">
        <v>71</v>
      </c>
      <c r="C5" s="8"/>
      <c r="D5" s="8"/>
    </row>
    <row r="6" spans="2:11" x14ac:dyDescent="0.3">
      <c r="B6" s="33" t="s">
        <v>30</v>
      </c>
      <c r="C6" s="8"/>
      <c r="H6" s="15">
        <f>SUM(H2:H3)</f>
        <v>198000</v>
      </c>
    </row>
    <row r="7" spans="2:11" x14ac:dyDescent="0.3">
      <c r="B7" s="33" t="s">
        <v>31</v>
      </c>
      <c r="C7" s="1">
        <v>10000</v>
      </c>
      <c r="D7" s="8"/>
      <c r="E7" s="8"/>
      <c r="G7" s="1" t="s">
        <v>90</v>
      </c>
      <c r="H7" s="35">
        <f>H6-C35</f>
        <v>6380.3999999999942</v>
      </c>
    </row>
    <row r="8" spans="2:11" x14ac:dyDescent="0.3">
      <c r="B8" t="s">
        <v>8</v>
      </c>
      <c r="C8" s="8"/>
      <c r="H8" s="34">
        <f>H7-D35</f>
        <v>6380.3999999999942</v>
      </c>
    </row>
    <row r="9" spans="2:11" x14ac:dyDescent="0.3">
      <c r="B9" t="s">
        <v>32</v>
      </c>
      <c r="D9" s="8"/>
      <c r="E9" s="8"/>
    </row>
    <row r="10" spans="2:11" x14ac:dyDescent="0.3">
      <c r="B10" t="s">
        <v>95</v>
      </c>
      <c r="C10" s="16">
        <v>7308</v>
      </c>
      <c r="G10" t="s">
        <v>88</v>
      </c>
      <c r="H10" s="1">
        <v>4000</v>
      </c>
    </row>
    <row r="11" spans="2:11" x14ac:dyDescent="0.3">
      <c r="B11" t="s">
        <v>34</v>
      </c>
      <c r="C11" s="8"/>
      <c r="E11" s="8">
        <v>2500</v>
      </c>
      <c r="G11" t="s">
        <v>64</v>
      </c>
      <c r="H11" s="1">
        <v>4000</v>
      </c>
    </row>
    <row r="12" spans="2:11" x14ac:dyDescent="0.3">
      <c r="B12" t="s">
        <v>45</v>
      </c>
      <c r="C12" s="8"/>
      <c r="D12" s="8"/>
      <c r="G12" t="s">
        <v>65</v>
      </c>
      <c r="H12" s="1">
        <v>4000</v>
      </c>
    </row>
    <row r="13" spans="2:11" x14ac:dyDescent="0.3">
      <c r="B13" t="s">
        <v>48</v>
      </c>
      <c r="C13" s="8"/>
      <c r="E13" s="29">
        <v>49247.8</v>
      </c>
      <c r="G13" t="s">
        <v>66</v>
      </c>
      <c r="H13" s="1">
        <v>3000</v>
      </c>
    </row>
    <row r="14" spans="2:11" x14ac:dyDescent="0.3">
      <c r="B14" t="s">
        <v>50</v>
      </c>
      <c r="C14" s="8"/>
      <c r="D14" s="8"/>
      <c r="E14" s="8"/>
      <c r="G14" t="s">
        <v>67</v>
      </c>
      <c r="H14" s="1">
        <v>1950</v>
      </c>
    </row>
    <row r="15" spans="2:11" x14ac:dyDescent="0.3">
      <c r="B15" t="s">
        <v>51</v>
      </c>
      <c r="C15" s="8"/>
      <c r="D15" s="8"/>
    </row>
    <row r="16" spans="2:11" x14ac:dyDescent="0.3">
      <c r="B16" t="s">
        <v>49</v>
      </c>
      <c r="C16" s="8"/>
      <c r="D16" s="8"/>
      <c r="G16"/>
    </row>
    <row r="17" spans="2:15" x14ac:dyDescent="0.3">
      <c r="B17" t="s">
        <v>54</v>
      </c>
      <c r="C17" s="8"/>
      <c r="G17"/>
      <c r="H17" s="3">
        <f>SUM(H10:H16)</f>
        <v>16950</v>
      </c>
    </row>
    <row r="18" spans="2:15" x14ac:dyDescent="0.3">
      <c r="B18" t="s">
        <v>52</v>
      </c>
      <c r="C18" s="8"/>
      <c r="E18" s="8">
        <v>12000</v>
      </c>
    </row>
    <row r="19" spans="2:15" x14ac:dyDescent="0.3">
      <c r="B19" t="s">
        <v>105</v>
      </c>
      <c r="C19" s="8"/>
      <c r="E19" s="8">
        <f>9219.5*1.04</f>
        <v>9588.2800000000007</v>
      </c>
    </row>
    <row r="20" spans="2:15" s="1" customFormat="1" x14ac:dyDescent="0.3">
      <c r="B20" t="s">
        <v>55</v>
      </c>
      <c r="E20" s="8">
        <v>22800</v>
      </c>
      <c r="F20" s="8"/>
      <c r="G20" s="1" t="s">
        <v>23</v>
      </c>
      <c r="H20" s="1">
        <v>115000</v>
      </c>
      <c r="J20"/>
      <c r="L20"/>
      <c r="O20"/>
    </row>
    <row r="21" spans="2:15" s="1" customFormat="1" x14ac:dyDescent="0.3">
      <c r="B21" t="s">
        <v>55</v>
      </c>
      <c r="D21" s="8"/>
      <c r="F21" s="8"/>
      <c r="G21" s="1" t="s">
        <v>14</v>
      </c>
      <c r="H21" s="1">
        <f>H17</f>
        <v>16950</v>
      </c>
      <c r="J21"/>
      <c r="L21"/>
      <c r="O21"/>
    </row>
    <row r="22" spans="2:15" s="1" customFormat="1" x14ac:dyDescent="0.3">
      <c r="B22" s="1" t="s">
        <v>78</v>
      </c>
      <c r="E22" s="8"/>
      <c r="F22" s="8"/>
      <c r="H22" s="3">
        <f>SUM(H20:H21)</f>
        <v>131950</v>
      </c>
      <c r="J22"/>
      <c r="L22"/>
      <c r="O22"/>
    </row>
    <row r="23" spans="2:15" s="1" customFormat="1" x14ac:dyDescent="0.3">
      <c r="B23" s="1" t="s">
        <v>91</v>
      </c>
      <c r="D23" s="8"/>
      <c r="F23" s="8"/>
      <c r="J23"/>
      <c r="L23"/>
      <c r="O23"/>
    </row>
    <row r="24" spans="2:15" s="1" customFormat="1" x14ac:dyDescent="0.3">
      <c r="B24" s="1" t="s">
        <v>106</v>
      </c>
      <c r="F24" s="8"/>
      <c r="G24" s="1" t="s">
        <v>35</v>
      </c>
      <c r="H24" s="1">
        <v>95000</v>
      </c>
      <c r="J24"/>
      <c r="L24"/>
      <c r="O24"/>
    </row>
    <row r="25" spans="2:15" s="1" customFormat="1" x14ac:dyDescent="0.3">
      <c r="B25" s="1" t="s">
        <v>108</v>
      </c>
      <c r="C25" s="8"/>
      <c r="F25" s="23"/>
      <c r="G25" s="1" t="s">
        <v>35</v>
      </c>
      <c r="H25" s="1">
        <v>20000</v>
      </c>
      <c r="J25"/>
      <c r="L25"/>
      <c r="O25"/>
    </row>
    <row r="26" spans="2:15" s="1" customFormat="1" x14ac:dyDescent="0.3">
      <c r="B26" s="1" t="s">
        <v>107</v>
      </c>
      <c r="C26" s="8"/>
      <c r="F26" s="23"/>
      <c r="H26" s="3">
        <f>SUM(H24:H25)</f>
        <v>115000</v>
      </c>
      <c r="J26"/>
      <c r="L26"/>
      <c r="O26"/>
    </row>
    <row r="27" spans="2:15" s="1" customFormat="1" x14ac:dyDescent="0.3">
      <c r="B27" s="1" t="s">
        <v>109</v>
      </c>
      <c r="C27" s="8"/>
      <c r="F27" s="23"/>
      <c r="H27" s="36">
        <f>H22-H26</f>
        <v>16950</v>
      </c>
      <c r="J27"/>
      <c r="L27"/>
      <c r="O27"/>
    </row>
    <row r="28" spans="2:15" s="1" customFormat="1" x14ac:dyDescent="0.3">
      <c r="B28" s="37" t="s">
        <v>113</v>
      </c>
      <c r="C28" s="16">
        <v>9280</v>
      </c>
      <c r="F28" s="23"/>
      <c r="J28"/>
      <c r="L28"/>
      <c r="O28"/>
    </row>
    <row r="29" spans="2:15" s="1" customFormat="1" x14ac:dyDescent="0.3">
      <c r="B29" s="1" t="s">
        <v>112</v>
      </c>
      <c r="C29" s="8"/>
      <c r="F29" s="23"/>
      <c r="J29"/>
      <c r="L29"/>
      <c r="O29"/>
    </row>
    <row r="30" spans="2:15" s="1" customFormat="1" x14ac:dyDescent="0.3">
      <c r="B30" s="1" t="s">
        <v>111</v>
      </c>
      <c r="C30" s="16">
        <f>(225000*0.04)+(11500*1.04)</f>
        <v>20960</v>
      </c>
      <c r="F30" s="23"/>
      <c r="J30"/>
      <c r="L30"/>
      <c r="O30"/>
    </row>
    <row r="31" spans="2:15" s="1" customFormat="1" x14ac:dyDescent="0.3">
      <c r="B31" s="1" t="s">
        <v>18</v>
      </c>
      <c r="C31" s="1">
        <v>10000</v>
      </c>
      <c r="F31" s="23"/>
      <c r="J31"/>
      <c r="L31"/>
      <c r="O31"/>
    </row>
    <row r="32" spans="2:15" s="1" customFormat="1" x14ac:dyDescent="0.3">
      <c r="B32" s="1" t="s">
        <v>120</v>
      </c>
      <c r="C32" s="16">
        <v>6020.4</v>
      </c>
      <c r="F32" s="23"/>
      <c r="H32" s="1">
        <f>220000*1.04</f>
        <v>228800</v>
      </c>
      <c r="J32"/>
      <c r="L32"/>
      <c r="O32"/>
    </row>
    <row r="33" spans="2:15" s="1" customFormat="1" x14ac:dyDescent="0.3">
      <c r="B33" s="1" t="s">
        <v>123</v>
      </c>
      <c r="C33" s="1">
        <v>3014.2</v>
      </c>
      <c r="F33" s="23"/>
      <c r="J33"/>
      <c r="L33"/>
      <c r="O33"/>
    </row>
    <row r="34" spans="2:15" s="1" customFormat="1" x14ac:dyDescent="0.3">
      <c r="F34" s="23"/>
      <c r="J34"/>
      <c r="L34"/>
      <c r="O34"/>
    </row>
    <row r="35" spans="2:15" x14ac:dyDescent="0.3">
      <c r="C35" s="15">
        <f>SUM(C2:C34)</f>
        <v>191619.6</v>
      </c>
      <c r="D35" s="34">
        <f>SUM(D2:D31)</f>
        <v>0</v>
      </c>
      <c r="E35" s="15">
        <f>SUM(E2:E34)</f>
        <v>96136.08</v>
      </c>
    </row>
    <row r="38" spans="2:15" x14ac:dyDescent="0.3">
      <c r="B38" s="2" t="s">
        <v>110</v>
      </c>
    </row>
    <row r="39" spans="2:15" x14ac:dyDescent="0.3">
      <c r="B39" t="s">
        <v>114</v>
      </c>
      <c r="C39" s="1">
        <v>780</v>
      </c>
    </row>
    <row r="40" spans="2:15" s="1" customFormat="1" x14ac:dyDescent="0.3">
      <c r="B40" t="s">
        <v>119</v>
      </c>
      <c r="C40" s="1">
        <v>800</v>
      </c>
      <c r="F40" s="8"/>
      <c r="J40"/>
      <c r="L40"/>
    </row>
    <row r="41" spans="2:15" x14ac:dyDescent="0.3">
      <c r="B41" t="s">
        <v>115</v>
      </c>
      <c r="C41" s="1">
        <v>1500</v>
      </c>
    </row>
    <row r="42" spans="2:15" s="1" customFormat="1" x14ac:dyDescent="0.3">
      <c r="B42" t="s">
        <v>116</v>
      </c>
      <c r="C42" s="1">
        <v>1000</v>
      </c>
      <c r="F42" s="8"/>
      <c r="J42"/>
      <c r="L42"/>
    </row>
    <row r="43" spans="2:15" s="1" customFormat="1" x14ac:dyDescent="0.3">
      <c r="B43" t="s">
        <v>117</v>
      </c>
      <c r="C43" s="1">
        <v>700</v>
      </c>
      <c r="F43" s="8"/>
      <c r="J43"/>
      <c r="L43"/>
    </row>
    <row r="44" spans="2:15" s="1" customFormat="1" x14ac:dyDescent="0.3">
      <c r="B44" t="s">
        <v>118</v>
      </c>
      <c r="C44" s="1">
        <v>600</v>
      </c>
      <c r="F44" s="8"/>
      <c r="J44"/>
      <c r="L44"/>
    </row>
    <row r="45" spans="2:15" x14ac:dyDescent="0.3">
      <c r="C45" s="3">
        <f>SUM(C39:C44)</f>
        <v>5380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E3BF-A8E5-4875-BF73-B99E80BA4C25}">
  <dimension ref="B1:O45"/>
  <sheetViews>
    <sheetView workbookViewId="0">
      <selection activeCell="G9" sqref="G9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1" max="11" width="11.5546875" style="1"/>
    <col min="12" max="12" width="14.6640625" bestFit="1" customWidth="1"/>
    <col min="13" max="14" width="11.5546875" style="1"/>
  </cols>
  <sheetData>
    <row r="1" spans="2:11" x14ac:dyDescent="0.3">
      <c r="B1" s="2" t="s">
        <v>104</v>
      </c>
      <c r="C1" s="30" t="s">
        <v>93</v>
      </c>
      <c r="D1" s="30" t="s">
        <v>94</v>
      </c>
      <c r="G1" s="3" t="s">
        <v>96</v>
      </c>
    </row>
    <row r="2" spans="2:11" x14ac:dyDescent="0.3">
      <c r="B2" t="s">
        <v>44</v>
      </c>
      <c r="C2" s="16">
        <v>104223</v>
      </c>
      <c r="D2" s="8"/>
      <c r="G2" s="1" t="s">
        <v>35</v>
      </c>
      <c r="H2" s="1">
        <v>1000</v>
      </c>
      <c r="K2" s="1">
        <v>337000</v>
      </c>
    </row>
    <row r="3" spans="2:11" x14ac:dyDescent="0.3">
      <c r="B3" t="s">
        <v>44</v>
      </c>
      <c r="C3" s="16">
        <v>20000</v>
      </c>
      <c r="D3" s="8"/>
      <c r="G3" s="1" t="s">
        <v>110</v>
      </c>
      <c r="H3" s="1">
        <v>400000</v>
      </c>
    </row>
    <row r="4" spans="2:11" x14ac:dyDescent="0.3">
      <c r="B4" t="s">
        <v>16</v>
      </c>
      <c r="C4" s="8"/>
      <c r="G4" s="1" t="s">
        <v>122</v>
      </c>
      <c r="H4" s="1">
        <v>194026.8</v>
      </c>
    </row>
    <row r="5" spans="2:11" x14ac:dyDescent="0.3">
      <c r="B5" t="s">
        <v>71</v>
      </c>
      <c r="C5" s="8"/>
      <c r="D5" s="8"/>
    </row>
    <row r="6" spans="2:11" x14ac:dyDescent="0.3">
      <c r="B6" s="33" t="s">
        <v>30</v>
      </c>
      <c r="C6" s="16">
        <v>60000</v>
      </c>
      <c r="H6" s="15">
        <f>SUM(H2:H4)</f>
        <v>595026.80000000005</v>
      </c>
    </row>
    <row r="7" spans="2:11" x14ac:dyDescent="0.3">
      <c r="B7" s="33" t="s">
        <v>31</v>
      </c>
      <c r="D7" s="8">
        <v>15000</v>
      </c>
      <c r="E7" s="8"/>
      <c r="G7" s="1" t="s">
        <v>90</v>
      </c>
      <c r="H7" s="35">
        <f>H6-C35</f>
        <v>482.05000000004657</v>
      </c>
    </row>
    <row r="8" spans="2:11" x14ac:dyDescent="0.3">
      <c r="B8" t="s">
        <v>8</v>
      </c>
      <c r="C8" s="16">
        <f>2*2784</f>
        <v>5568</v>
      </c>
      <c r="H8" s="34">
        <f>H7-D35</f>
        <v>-14517.949999999953</v>
      </c>
    </row>
    <row r="9" spans="2:11" x14ac:dyDescent="0.3">
      <c r="B9" t="s">
        <v>32</v>
      </c>
      <c r="D9" s="8"/>
      <c r="E9" s="8"/>
    </row>
    <row r="10" spans="2:11" x14ac:dyDescent="0.3">
      <c r="B10" t="s">
        <v>95</v>
      </c>
      <c r="C10" s="8"/>
      <c r="G10" t="s">
        <v>88</v>
      </c>
      <c r="H10" s="1">
        <v>4000</v>
      </c>
    </row>
    <row r="11" spans="2:11" x14ac:dyDescent="0.3">
      <c r="B11" t="s">
        <v>34</v>
      </c>
      <c r="C11" s="8"/>
      <c r="E11" s="8">
        <v>2500</v>
      </c>
      <c r="G11" t="s">
        <v>64</v>
      </c>
      <c r="H11" s="1">
        <v>4000</v>
      </c>
    </row>
    <row r="12" spans="2:11" x14ac:dyDescent="0.3">
      <c r="B12" t="s">
        <v>45</v>
      </c>
      <c r="C12" s="16">
        <v>20852.5</v>
      </c>
      <c r="D12" s="8"/>
      <c r="G12" t="s">
        <v>65</v>
      </c>
      <c r="H12" s="1">
        <v>4000</v>
      </c>
    </row>
    <row r="13" spans="2:11" x14ac:dyDescent="0.3">
      <c r="B13" t="s">
        <v>48</v>
      </c>
      <c r="C13" s="8"/>
      <c r="E13" s="29">
        <v>49247.8</v>
      </c>
      <c r="G13" t="s">
        <v>66</v>
      </c>
      <c r="H13" s="1">
        <v>3000</v>
      </c>
    </row>
    <row r="14" spans="2:11" x14ac:dyDescent="0.3">
      <c r="B14" t="s">
        <v>50</v>
      </c>
      <c r="C14" s="8"/>
      <c r="D14" s="8"/>
      <c r="E14" s="8"/>
      <c r="G14" t="s">
        <v>67</v>
      </c>
      <c r="H14" s="1">
        <v>1950</v>
      </c>
    </row>
    <row r="15" spans="2:11" x14ac:dyDescent="0.3">
      <c r="B15" t="s">
        <v>51</v>
      </c>
      <c r="C15" s="8"/>
      <c r="D15" s="8"/>
    </row>
    <row r="16" spans="2:11" x14ac:dyDescent="0.3">
      <c r="B16" t="s">
        <v>49</v>
      </c>
      <c r="C16" s="16">
        <v>22846.25</v>
      </c>
      <c r="G16"/>
    </row>
    <row r="17" spans="2:15" x14ac:dyDescent="0.3">
      <c r="B17" t="s">
        <v>54</v>
      </c>
      <c r="C17" s="16">
        <v>8120</v>
      </c>
      <c r="G17"/>
      <c r="H17" s="3">
        <f>SUM(H10:H16)</f>
        <v>16950</v>
      </c>
    </row>
    <row r="18" spans="2:15" x14ac:dyDescent="0.3">
      <c r="B18" t="s">
        <v>52</v>
      </c>
      <c r="E18" s="8">
        <v>12000</v>
      </c>
    </row>
    <row r="19" spans="2:15" x14ac:dyDescent="0.3">
      <c r="B19" t="s">
        <v>105</v>
      </c>
      <c r="E19" s="8">
        <f>9219.5*1.04</f>
        <v>9588.2800000000007</v>
      </c>
    </row>
    <row r="20" spans="2:15" s="1" customFormat="1" x14ac:dyDescent="0.3">
      <c r="B20" t="s">
        <v>55</v>
      </c>
      <c r="E20" s="8">
        <v>22800</v>
      </c>
      <c r="F20" s="8"/>
      <c r="G20" s="1" t="s">
        <v>23</v>
      </c>
      <c r="H20" s="1">
        <v>115000</v>
      </c>
      <c r="J20"/>
      <c r="L20"/>
      <c r="O20"/>
    </row>
    <row r="21" spans="2:15" s="1" customFormat="1" x14ac:dyDescent="0.3">
      <c r="B21" t="s">
        <v>55</v>
      </c>
      <c r="C21" s="16">
        <v>28500</v>
      </c>
      <c r="D21" s="8"/>
      <c r="F21" s="8"/>
      <c r="G21" s="1" t="s">
        <v>14</v>
      </c>
      <c r="H21" s="1">
        <f>H17</f>
        <v>16950</v>
      </c>
      <c r="J21"/>
      <c r="L21"/>
      <c r="O21"/>
    </row>
    <row r="22" spans="2:15" s="1" customFormat="1" x14ac:dyDescent="0.3">
      <c r="B22" s="1" t="s">
        <v>78</v>
      </c>
      <c r="E22" s="8">
        <v>8000</v>
      </c>
      <c r="F22" s="8"/>
      <c r="H22" s="3">
        <f>SUM(H20:H21)</f>
        <v>131950</v>
      </c>
      <c r="J22"/>
      <c r="L22"/>
      <c r="O22"/>
    </row>
    <row r="23" spans="2:15" s="1" customFormat="1" x14ac:dyDescent="0.3">
      <c r="B23" s="1" t="s">
        <v>91</v>
      </c>
      <c r="D23" s="8"/>
      <c r="F23" s="8"/>
      <c r="J23"/>
      <c r="L23"/>
      <c r="O23"/>
    </row>
    <row r="24" spans="2:15" s="1" customFormat="1" x14ac:dyDescent="0.3">
      <c r="B24" s="1" t="s">
        <v>106</v>
      </c>
      <c r="F24" s="8"/>
      <c r="G24" s="1" t="s">
        <v>35</v>
      </c>
      <c r="H24" s="1">
        <v>95000</v>
      </c>
      <c r="J24"/>
      <c r="L24"/>
      <c r="O24"/>
    </row>
    <row r="25" spans="2:15" s="1" customFormat="1" x14ac:dyDescent="0.3">
      <c r="B25" s="1" t="s">
        <v>108</v>
      </c>
      <c r="C25" s="16">
        <f>138229+122206</f>
        <v>260435</v>
      </c>
      <c r="F25" s="23"/>
      <c r="G25" s="1" t="s">
        <v>35</v>
      </c>
      <c r="H25" s="1">
        <v>20000</v>
      </c>
      <c r="J25"/>
      <c r="L25"/>
      <c r="O25"/>
    </row>
    <row r="26" spans="2:15" s="1" customFormat="1" x14ac:dyDescent="0.3">
      <c r="B26" s="1" t="s">
        <v>121</v>
      </c>
      <c r="C26" s="16">
        <v>12000</v>
      </c>
      <c r="F26" s="23"/>
      <c r="H26" s="3">
        <f>SUM(H24:H25)</f>
        <v>115000</v>
      </c>
      <c r="J26"/>
      <c r="L26"/>
      <c r="O26"/>
    </row>
    <row r="27" spans="2:15" s="1" customFormat="1" x14ac:dyDescent="0.3">
      <c r="B27" s="1" t="s">
        <v>109</v>
      </c>
      <c r="C27" s="16">
        <v>50000</v>
      </c>
      <c r="F27" s="23"/>
      <c r="H27" s="36">
        <f>H22-H26</f>
        <v>16950</v>
      </c>
      <c r="J27"/>
      <c r="L27"/>
      <c r="O27"/>
    </row>
    <row r="28" spans="2:15" s="1" customFormat="1" x14ac:dyDescent="0.3">
      <c r="B28" s="37" t="s">
        <v>113</v>
      </c>
      <c r="C28" s="8"/>
      <c r="F28" s="23"/>
      <c r="J28"/>
      <c r="L28"/>
      <c r="O28"/>
    </row>
    <row r="29" spans="2:15" s="1" customFormat="1" x14ac:dyDescent="0.3">
      <c r="B29" s="1" t="s">
        <v>112</v>
      </c>
      <c r="C29" s="16">
        <v>2000</v>
      </c>
      <c r="F29" s="23"/>
      <c r="J29"/>
      <c r="L29"/>
      <c r="O29"/>
    </row>
    <row r="30" spans="2:15" s="1" customFormat="1" x14ac:dyDescent="0.3">
      <c r="B30" s="1" t="s">
        <v>111</v>
      </c>
      <c r="C30" s="8"/>
      <c r="F30" s="23"/>
      <c r="J30"/>
      <c r="L30"/>
      <c r="O30"/>
    </row>
    <row r="31" spans="2:15" s="1" customFormat="1" x14ac:dyDescent="0.3">
      <c r="B31" s="1" t="s">
        <v>18</v>
      </c>
      <c r="C31" s="8"/>
      <c r="F31" s="23"/>
      <c r="J31"/>
      <c r="L31"/>
      <c r="O31"/>
    </row>
    <row r="32" spans="2:15" s="1" customFormat="1" x14ac:dyDescent="0.3">
      <c r="B32" s="1" t="s">
        <v>120</v>
      </c>
      <c r="C32" s="8"/>
      <c r="F32" s="23"/>
      <c r="H32" s="1">
        <f>220000*1.04</f>
        <v>228800</v>
      </c>
      <c r="J32"/>
      <c r="L32"/>
      <c r="O32"/>
    </row>
    <row r="33" spans="2:15" s="1" customFormat="1" x14ac:dyDescent="0.3">
      <c r="C33" s="8"/>
      <c r="F33" s="23"/>
      <c r="J33"/>
      <c r="L33"/>
      <c r="O33"/>
    </row>
    <row r="34" spans="2:15" s="1" customFormat="1" x14ac:dyDescent="0.3">
      <c r="F34" s="23"/>
      <c r="J34"/>
      <c r="L34"/>
      <c r="O34"/>
    </row>
    <row r="35" spans="2:15" x14ac:dyDescent="0.3">
      <c r="C35" s="15">
        <f>SUM(C2:C34)</f>
        <v>594544.75</v>
      </c>
      <c r="D35" s="34">
        <f>SUM(D2:D31)</f>
        <v>15000</v>
      </c>
    </row>
    <row r="38" spans="2:15" x14ac:dyDescent="0.3">
      <c r="B38" s="2" t="s">
        <v>110</v>
      </c>
    </row>
    <row r="39" spans="2:15" x14ac:dyDescent="0.3">
      <c r="B39" t="s">
        <v>114</v>
      </c>
      <c r="C39" s="1">
        <v>780</v>
      </c>
    </row>
    <row r="40" spans="2:15" s="1" customFormat="1" x14ac:dyDescent="0.3">
      <c r="B40" t="s">
        <v>119</v>
      </c>
      <c r="C40" s="1">
        <v>800</v>
      </c>
      <c r="F40" s="8"/>
      <c r="J40"/>
      <c r="L40"/>
    </row>
    <row r="41" spans="2:15" x14ac:dyDescent="0.3">
      <c r="B41" t="s">
        <v>115</v>
      </c>
      <c r="C41" s="1">
        <v>1500</v>
      </c>
    </row>
    <row r="42" spans="2:15" s="1" customFormat="1" x14ac:dyDescent="0.3">
      <c r="B42" t="s">
        <v>116</v>
      </c>
      <c r="C42" s="1">
        <v>1000</v>
      </c>
      <c r="F42" s="8"/>
      <c r="J42"/>
      <c r="L42"/>
    </row>
    <row r="43" spans="2:15" s="1" customFormat="1" x14ac:dyDescent="0.3">
      <c r="B43" t="s">
        <v>117</v>
      </c>
      <c r="C43" s="1">
        <v>700</v>
      </c>
      <c r="F43" s="8"/>
      <c r="J43"/>
      <c r="L43"/>
    </row>
    <row r="44" spans="2:15" s="1" customFormat="1" x14ac:dyDescent="0.3">
      <c r="B44" t="s">
        <v>118</v>
      </c>
      <c r="C44" s="1">
        <v>600</v>
      </c>
      <c r="F44" s="8"/>
      <c r="J44"/>
      <c r="L44"/>
    </row>
    <row r="45" spans="2:15" x14ac:dyDescent="0.3">
      <c r="C45" s="3">
        <f>SUM(C39:C44)</f>
        <v>5380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C7FD-6EC0-4C6D-8DF6-D6E09F1937E3}">
  <dimension ref="B1:O33"/>
  <sheetViews>
    <sheetView topLeftCell="A3" workbookViewId="0">
      <selection activeCell="G9" sqref="G9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2" max="12" width="14.6640625" bestFit="1" customWidth="1"/>
    <col min="13" max="14" width="11.5546875" style="1"/>
  </cols>
  <sheetData>
    <row r="1" spans="2:11" x14ac:dyDescent="0.3">
      <c r="B1" s="2" t="s">
        <v>104</v>
      </c>
      <c r="C1" s="30" t="s">
        <v>93</v>
      </c>
      <c r="D1" s="30" t="s">
        <v>94</v>
      </c>
      <c r="G1" s="3" t="s">
        <v>96</v>
      </c>
    </row>
    <row r="2" spans="2:11" x14ac:dyDescent="0.3">
      <c r="B2" t="s">
        <v>44</v>
      </c>
      <c r="C2" s="16">
        <v>125038</v>
      </c>
      <c r="D2" s="8"/>
      <c r="G2" s="1" t="s">
        <v>35</v>
      </c>
    </row>
    <row r="3" spans="2:11" x14ac:dyDescent="0.3">
      <c r="B3" t="s">
        <v>16</v>
      </c>
      <c r="C3" s="8"/>
      <c r="D3" s="1">
        <v>50000</v>
      </c>
      <c r="G3" s="1" t="s">
        <v>89</v>
      </c>
      <c r="H3" s="1">
        <v>183000</v>
      </c>
    </row>
    <row r="4" spans="2:11" x14ac:dyDescent="0.3">
      <c r="B4" t="s">
        <v>71</v>
      </c>
      <c r="C4" s="8"/>
      <c r="G4" s="1" t="s">
        <v>89</v>
      </c>
      <c r="H4" s="1">
        <v>198000</v>
      </c>
    </row>
    <row r="5" spans="2:11" x14ac:dyDescent="0.3">
      <c r="B5" t="s">
        <v>30</v>
      </c>
      <c r="C5" s="16">
        <v>50000</v>
      </c>
    </row>
    <row r="6" spans="2:11" x14ac:dyDescent="0.3">
      <c r="B6" t="s">
        <v>31</v>
      </c>
      <c r="C6" s="8">
        <v>10000</v>
      </c>
      <c r="E6" s="8"/>
      <c r="H6" s="15">
        <f>SUM(H2:H4)</f>
        <v>381000</v>
      </c>
    </row>
    <row r="7" spans="2:11" x14ac:dyDescent="0.3">
      <c r="B7" t="s">
        <v>8</v>
      </c>
      <c r="D7" s="8">
        <f>2*2784</f>
        <v>5568</v>
      </c>
      <c r="G7" s="1" t="s">
        <v>90</v>
      </c>
      <c r="H7" s="28">
        <f>H6-C25</f>
        <v>-11382.670000000042</v>
      </c>
      <c r="K7" s="1"/>
    </row>
    <row r="8" spans="2:11" x14ac:dyDescent="0.3">
      <c r="B8" t="s">
        <v>32</v>
      </c>
      <c r="D8" s="8">
        <v>9000</v>
      </c>
      <c r="E8" s="8"/>
    </row>
    <row r="9" spans="2:11" x14ac:dyDescent="0.3">
      <c r="B9" t="s">
        <v>95</v>
      </c>
      <c r="D9" s="1">
        <v>12500</v>
      </c>
      <c r="G9" s="3" t="s">
        <v>335</v>
      </c>
    </row>
    <row r="10" spans="2:11" x14ac:dyDescent="0.3">
      <c r="B10" t="s">
        <v>34</v>
      </c>
      <c r="C10" s="8"/>
      <c r="D10" s="1">
        <v>2500</v>
      </c>
      <c r="G10" t="s">
        <v>88</v>
      </c>
    </row>
    <row r="11" spans="2:11" x14ac:dyDescent="0.3">
      <c r="B11" t="s">
        <v>45</v>
      </c>
      <c r="C11" s="8">
        <v>13000</v>
      </c>
      <c r="D11" s="8"/>
      <c r="G11" t="s">
        <v>64</v>
      </c>
      <c r="H11" s="1">
        <v>4000</v>
      </c>
    </row>
    <row r="12" spans="2:11" x14ac:dyDescent="0.3">
      <c r="B12" t="s">
        <v>48</v>
      </c>
      <c r="C12" s="8"/>
      <c r="D12" s="29">
        <v>49247.8</v>
      </c>
      <c r="E12" s="8"/>
      <c r="G12" t="s">
        <v>65</v>
      </c>
      <c r="H12" s="1">
        <v>4000</v>
      </c>
    </row>
    <row r="13" spans="2:11" x14ac:dyDescent="0.3">
      <c r="B13" t="s">
        <v>50</v>
      </c>
      <c r="C13" s="8"/>
      <c r="E13" s="8"/>
      <c r="G13" t="s">
        <v>66</v>
      </c>
      <c r="H13" s="1">
        <v>3000</v>
      </c>
    </row>
    <row r="14" spans="2:11" x14ac:dyDescent="0.3">
      <c r="B14" t="s">
        <v>51</v>
      </c>
      <c r="C14" s="8"/>
      <c r="G14" t="s">
        <v>67</v>
      </c>
      <c r="H14" s="1">
        <v>1950</v>
      </c>
      <c r="K14" s="1"/>
    </row>
    <row r="15" spans="2:11" x14ac:dyDescent="0.3">
      <c r="B15" t="s">
        <v>49</v>
      </c>
      <c r="C15" s="8"/>
      <c r="D15" s="1">
        <v>22846.25</v>
      </c>
      <c r="G15"/>
      <c r="H15" s="3">
        <f>SUM(H10:H14)</f>
        <v>12950</v>
      </c>
    </row>
    <row r="16" spans="2:11" x14ac:dyDescent="0.3">
      <c r="B16" t="s">
        <v>54</v>
      </c>
      <c r="C16" s="8"/>
      <c r="G16"/>
    </row>
    <row r="17" spans="2:15" x14ac:dyDescent="0.3">
      <c r="B17" t="s">
        <v>52</v>
      </c>
      <c r="C17" s="16">
        <v>12000</v>
      </c>
    </row>
    <row r="18" spans="2:15" x14ac:dyDescent="0.3">
      <c r="B18" t="s">
        <v>105</v>
      </c>
      <c r="C18" s="16">
        <f>9219.5*1.04</f>
        <v>9588.2800000000007</v>
      </c>
    </row>
    <row r="19" spans="2:15" s="1" customFormat="1" x14ac:dyDescent="0.3">
      <c r="B19" t="s">
        <v>55</v>
      </c>
      <c r="C19" s="16">
        <v>28500</v>
      </c>
      <c r="F19" s="8"/>
      <c r="J19"/>
      <c r="K19"/>
      <c r="L19"/>
      <c r="O19"/>
    </row>
    <row r="20" spans="2:15" s="1" customFormat="1" x14ac:dyDescent="0.3">
      <c r="B20" t="s">
        <v>55</v>
      </c>
      <c r="C20" s="16">
        <v>10200</v>
      </c>
      <c r="F20" s="8"/>
      <c r="J20"/>
      <c r="K20"/>
      <c r="L20"/>
      <c r="O20"/>
    </row>
    <row r="21" spans="2:15" s="1" customFormat="1" x14ac:dyDescent="0.3">
      <c r="B21" s="1" t="s">
        <v>78</v>
      </c>
      <c r="C21" s="8">
        <v>8000</v>
      </c>
      <c r="D21" s="1">
        <f>7*1050</f>
        <v>7350</v>
      </c>
      <c r="F21" s="8"/>
      <c r="J21"/>
      <c r="K21"/>
      <c r="L21"/>
      <c r="O21"/>
    </row>
    <row r="22" spans="2:15" s="1" customFormat="1" x14ac:dyDescent="0.3">
      <c r="B22" s="1" t="s">
        <v>91</v>
      </c>
      <c r="C22" s="16">
        <f>19604*2</f>
        <v>39208</v>
      </c>
      <c r="F22" s="8"/>
      <c r="J22"/>
      <c r="K22"/>
      <c r="L22"/>
      <c r="O22"/>
    </row>
    <row r="23" spans="2:15" s="1" customFormat="1" x14ac:dyDescent="0.3">
      <c r="B23" s="1" t="s">
        <v>106</v>
      </c>
      <c r="C23" s="16">
        <f>2507.91+1140.48</f>
        <v>3648.39</v>
      </c>
      <c r="F23" s="8"/>
      <c r="J23"/>
      <c r="K23"/>
      <c r="L23"/>
      <c r="O23"/>
    </row>
    <row r="24" spans="2:15" s="1" customFormat="1" x14ac:dyDescent="0.3">
      <c r="B24" s="1" t="s">
        <v>92</v>
      </c>
      <c r="C24" s="16">
        <f>80000*1.04</f>
        <v>83200</v>
      </c>
      <c r="F24" s="23"/>
      <c r="J24"/>
      <c r="K24"/>
      <c r="L24"/>
      <c r="O24"/>
    </row>
    <row r="25" spans="2:15" x14ac:dyDescent="0.3">
      <c r="C25" s="15">
        <f>SUM(C2:C24)</f>
        <v>392382.67000000004</v>
      </c>
      <c r="D25" s="15">
        <f>SUM(D2:D24)</f>
        <v>159012.04999999999</v>
      </c>
    </row>
    <row r="30" spans="2:15" s="1" customFormat="1" x14ac:dyDescent="0.3">
      <c r="B30"/>
      <c r="F30" s="8"/>
      <c r="J30"/>
      <c r="K30"/>
      <c r="L30"/>
    </row>
    <row r="32" spans="2:15" s="1" customFormat="1" x14ac:dyDescent="0.3">
      <c r="B32"/>
      <c r="F32" s="8"/>
      <c r="J32"/>
      <c r="K32"/>
      <c r="L32"/>
    </row>
    <row r="33" spans="2:12" s="1" customFormat="1" x14ac:dyDescent="0.3">
      <c r="B33"/>
      <c r="F33" s="8"/>
      <c r="J33"/>
      <c r="K33"/>
      <c r="L33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B688-A1B0-44A2-A326-F746CD57AF92}">
  <dimension ref="B1:O31"/>
  <sheetViews>
    <sheetView workbookViewId="0">
      <selection activeCell="M2" sqref="M2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2" max="12" width="14.6640625" bestFit="1" customWidth="1"/>
    <col min="13" max="14" width="11.5546875" style="1"/>
  </cols>
  <sheetData>
    <row r="1" spans="2:14" x14ac:dyDescent="0.3">
      <c r="B1" s="2" t="s">
        <v>87</v>
      </c>
      <c r="C1" s="30" t="s">
        <v>93</v>
      </c>
      <c r="D1" s="30" t="s">
        <v>94</v>
      </c>
      <c r="G1" s="3" t="s">
        <v>96</v>
      </c>
    </row>
    <row r="2" spans="2:14" x14ac:dyDescent="0.3">
      <c r="B2" t="s">
        <v>44</v>
      </c>
      <c r="C2" s="8">
        <v>115000</v>
      </c>
      <c r="D2" s="8"/>
      <c r="G2" s="1" t="s">
        <v>35</v>
      </c>
      <c r="H2" s="1">
        <f>70000-2250-4000-19000</f>
        <v>44750</v>
      </c>
      <c r="M2" s="3" t="s">
        <v>336</v>
      </c>
    </row>
    <row r="3" spans="2:14" x14ac:dyDescent="0.3">
      <c r="B3" t="s">
        <v>16</v>
      </c>
      <c r="C3" s="8"/>
      <c r="D3" s="1">
        <v>50000</v>
      </c>
      <c r="G3" s="1" t="s">
        <v>89</v>
      </c>
      <c r="H3" s="1">
        <v>199760</v>
      </c>
      <c r="M3" s="31" t="s">
        <v>101</v>
      </c>
      <c r="N3" s="31" t="s">
        <v>102</v>
      </c>
    </row>
    <row r="4" spans="2:14" x14ac:dyDescent="0.3">
      <c r="B4" t="s">
        <v>71</v>
      </c>
      <c r="C4" s="8">
        <v>5000</v>
      </c>
      <c r="G4" s="1" t="s">
        <v>89</v>
      </c>
      <c r="H4" s="1">
        <v>201960</v>
      </c>
      <c r="L4" t="s">
        <v>99</v>
      </c>
      <c r="M4" s="1">
        <v>150</v>
      </c>
      <c r="N4" s="1">
        <v>150</v>
      </c>
    </row>
    <row r="5" spans="2:14" x14ac:dyDescent="0.3">
      <c r="B5" t="s">
        <v>30</v>
      </c>
      <c r="C5" s="8"/>
      <c r="D5" s="1">
        <v>50000</v>
      </c>
      <c r="L5" t="s">
        <v>97</v>
      </c>
      <c r="M5" s="1">
        <v>80</v>
      </c>
      <c r="N5" s="1">
        <v>80</v>
      </c>
    </row>
    <row r="6" spans="2:14" x14ac:dyDescent="0.3">
      <c r="B6" t="s">
        <v>31</v>
      </c>
      <c r="C6" s="8">
        <v>10000</v>
      </c>
      <c r="E6" s="8"/>
      <c r="H6" s="15">
        <f>SUM(H2:H4)</f>
        <v>446470</v>
      </c>
      <c r="L6" t="s">
        <v>98</v>
      </c>
      <c r="M6" s="1">
        <v>100</v>
      </c>
      <c r="N6" s="1">
        <v>100</v>
      </c>
    </row>
    <row r="7" spans="2:14" x14ac:dyDescent="0.3">
      <c r="B7" t="s">
        <v>8</v>
      </c>
      <c r="D7" s="8">
        <f>2*2784</f>
        <v>5568</v>
      </c>
      <c r="G7" s="1" t="s">
        <v>90</v>
      </c>
      <c r="H7" s="28">
        <f>H6-C23</f>
        <v>-134</v>
      </c>
      <c r="K7" s="1"/>
      <c r="L7" s="1" t="s">
        <v>100</v>
      </c>
      <c r="M7" s="1">
        <v>100</v>
      </c>
    </row>
    <row r="8" spans="2:14" x14ac:dyDescent="0.3">
      <c r="B8" t="s">
        <v>32</v>
      </c>
      <c r="C8" s="8"/>
      <c r="D8" s="8">
        <v>9000</v>
      </c>
      <c r="E8" s="8"/>
      <c r="L8" t="s">
        <v>103</v>
      </c>
      <c r="M8" s="1">
        <v>480</v>
      </c>
    </row>
    <row r="9" spans="2:14" x14ac:dyDescent="0.3">
      <c r="B9" t="s">
        <v>95</v>
      </c>
      <c r="C9" s="8"/>
      <c r="D9" s="1">
        <v>12500</v>
      </c>
      <c r="G9" s="3" t="s">
        <v>335</v>
      </c>
      <c r="M9" s="15">
        <f>SUM(M4:M8)</f>
        <v>910</v>
      </c>
      <c r="N9" s="15">
        <f>SUM(N4:N7)</f>
        <v>330</v>
      </c>
    </row>
    <row r="10" spans="2:14" x14ac:dyDescent="0.3">
      <c r="B10" t="s">
        <v>34</v>
      </c>
      <c r="C10" s="8"/>
      <c r="D10" s="1">
        <v>2500</v>
      </c>
      <c r="G10" t="s">
        <v>88</v>
      </c>
      <c r="H10" s="1">
        <v>4000</v>
      </c>
      <c r="N10" s="32">
        <f>SUM(M9:N9)</f>
        <v>1240</v>
      </c>
    </row>
    <row r="11" spans="2:14" x14ac:dyDescent="0.3">
      <c r="B11" t="s">
        <v>45</v>
      </c>
      <c r="C11" s="8">
        <f>17000</f>
        <v>17000</v>
      </c>
      <c r="D11" s="8"/>
      <c r="G11" t="s">
        <v>64</v>
      </c>
      <c r="H11" s="1">
        <v>4000</v>
      </c>
    </row>
    <row r="12" spans="2:14" x14ac:dyDescent="0.3">
      <c r="B12" t="s">
        <v>48</v>
      </c>
      <c r="C12" s="8"/>
      <c r="D12" s="29">
        <v>49247.8</v>
      </c>
      <c r="E12" s="8"/>
      <c r="G12" t="s">
        <v>65</v>
      </c>
      <c r="H12" s="1">
        <v>4000</v>
      </c>
    </row>
    <row r="13" spans="2:14" x14ac:dyDescent="0.3">
      <c r="B13" t="s">
        <v>50</v>
      </c>
      <c r="C13" s="8"/>
      <c r="E13" s="8"/>
      <c r="G13" t="s">
        <v>66</v>
      </c>
      <c r="H13" s="1">
        <v>3000</v>
      </c>
    </row>
    <row r="14" spans="2:14" x14ac:dyDescent="0.3">
      <c r="B14" t="s">
        <v>51</v>
      </c>
      <c r="C14" s="8"/>
      <c r="G14" t="s">
        <v>67</v>
      </c>
      <c r="H14" s="1">
        <v>1950</v>
      </c>
      <c r="K14" s="1"/>
      <c r="L14" s="1"/>
    </row>
    <row r="15" spans="2:14" x14ac:dyDescent="0.3">
      <c r="B15" t="s">
        <v>49</v>
      </c>
      <c r="C15" s="8"/>
      <c r="D15" s="1">
        <v>22846.25</v>
      </c>
      <c r="G15"/>
      <c r="H15" s="3">
        <f>SUM(H10:H14)</f>
        <v>16950</v>
      </c>
    </row>
    <row r="16" spans="2:14" x14ac:dyDescent="0.3">
      <c r="B16" t="s">
        <v>54</v>
      </c>
      <c r="C16" s="8"/>
      <c r="G16"/>
    </row>
    <row r="17" spans="2:15" x14ac:dyDescent="0.3">
      <c r="B17" t="s">
        <v>52</v>
      </c>
      <c r="C17" s="8"/>
    </row>
    <row r="18" spans="2:15" x14ac:dyDescent="0.3">
      <c r="B18" t="s">
        <v>35</v>
      </c>
      <c r="C18" s="8"/>
    </row>
    <row r="19" spans="2:15" s="1" customFormat="1" x14ac:dyDescent="0.3">
      <c r="B19" t="s">
        <v>55</v>
      </c>
      <c r="C19" s="8"/>
      <c r="F19" s="8"/>
      <c r="J19"/>
      <c r="K19"/>
      <c r="L19"/>
      <c r="O19"/>
    </row>
    <row r="20" spans="2:15" s="1" customFormat="1" x14ac:dyDescent="0.3">
      <c r="B20" s="1" t="s">
        <v>78</v>
      </c>
      <c r="C20" s="8"/>
      <c r="D20" s="1">
        <f>7*1050</f>
        <v>7350</v>
      </c>
      <c r="F20" s="8"/>
      <c r="J20"/>
      <c r="K20"/>
      <c r="L20"/>
      <c r="O20"/>
    </row>
    <row r="21" spans="2:15" s="1" customFormat="1" x14ac:dyDescent="0.3">
      <c r="B21" s="1" t="s">
        <v>91</v>
      </c>
      <c r="C21" s="1">
        <v>19604</v>
      </c>
      <c r="F21" s="8"/>
      <c r="J21"/>
      <c r="K21"/>
      <c r="L21"/>
      <c r="O21"/>
    </row>
    <row r="22" spans="2:15" s="1" customFormat="1" x14ac:dyDescent="0.3">
      <c r="B22" s="1" t="s">
        <v>334</v>
      </c>
      <c r="C22" s="1">
        <v>280000</v>
      </c>
      <c r="D22" s="1">
        <v>85000</v>
      </c>
      <c r="F22" s="23"/>
      <c r="J22"/>
      <c r="K22"/>
      <c r="L22"/>
      <c r="O22"/>
    </row>
    <row r="23" spans="2:15" x14ac:dyDescent="0.3">
      <c r="C23" s="15">
        <f>SUM(C2:C22)</f>
        <v>446604</v>
      </c>
      <c r="D23" s="15">
        <f>SUM(D2:D22)</f>
        <v>294012.05</v>
      </c>
    </row>
    <row r="25" spans="2:15" x14ac:dyDescent="0.3">
      <c r="C25" s="1">
        <f>C22-365000</f>
        <v>-85000</v>
      </c>
    </row>
    <row r="28" spans="2:15" s="1" customFormat="1" x14ac:dyDescent="0.3">
      <c r="B28"/>
      <c r="F28" s="8"/>
      <c r="J28"/>
      <c r="K28"/>
      <c r="L28"/>
    </row>
    <row r="30" spans="2:15" s="1" customFormat="1" x14ac:dyDescent="0.3">
      <c r="B30"/>
      <c r="F30" s="8"/>
      <c r="J30"/>
      <c r="K30"/>
      <c r="L30"/>
    </row>
    <row r="31" spans="2:15" s="1" customFormat="1" x14ac:dyDescent="0.3">
      <c r="B31"/>
      <c r="F31" s="8"/>
      <c r="J31"/>
      <c r="K31"/>
      <c r="L31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8EEF-388A-495D-8C40-26D600F673B9}">
  <dimension ref="B1:N44"/>
  <sheetViews>
    <sheetView workbookViewId="0">
      <selection activeCell="H16" sqref="H16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</cols>
  <sheetData>
    <row r="1" spans="2:14" x14ac:dyDescent="0.3">
      <c r="B1" s="2" t="s">
        <v>70</v>
      </c>
      <c r="G1" s="3" t="s">
        <v>336</v>
      </c>
    </row>
    <row r="2" spans="2:14" x14ac:dyDescent="0.3">
      <c r="B2" t="s">
        <v>44</v>
      </c>
      <c r="C2" s="16">
        <v>120000</v>
      </c>
      <c r="D2" s="8"/>
      <c r="G2" s="1" t="s">
        <v>35</v>
      </c>
      <c r="H2" s="1">
        <v>86000</v>
      </c>
    </row>
    <row r="3" spans="2:14" x14ac:dyDescent="0.3">
      <c r="B3" t="s">
        <v>16</v>
      </c>
      <c r="G3" s="1" t="s">
        <v>46</v>
      </c>
      <c r="H3" s="1">
        <v>40000</v>
      </c>
    </row>
    <row r="4" spans="2:14" x14ac:dyDescent="0.3">
      <c r="B4" t="s">
        <v>71</v>
      </c>
      <c r="G4" s="1" t="s">
        <v>69</v>
      </c>
      <c r="H4" s="1">
        <v>12000</v>
      </c>
    </row>
    <row r="5" spans="2:14" x14ac:dyDescent="0.3">
      <c r="B5" t="s">
        <v>30</v>
      </c>
      <c r="C5" s="16">
        <v>50000</v>
      </c>
      <c r="D5" s="16"/>
    </row>
    <row r="6" spans="2:14" x14ac:dyDescent="0.3">
      <c r="B6" t="s">
        <v>31</v>
      </c>
      <c r="C6" s="16">
        <v>10000</v>
      </c>
      <c r="E6" s="8"/>
      <c r="H6" s="15">
        <f>SUM(H2:H4)</f>
        <v>138000</v>
      </c>
    </row>
    <row r="7" spans="2:14" x14ac:dyDescent="0.3">
      <c r="B7" t="s">
        <v>8</v>
      </c>
      <c r="C7" s="16">
        <v>2784</v>
      </c>
      <c r="E7" s="8">
        <v>3000</v>
      </c>
      <c r="K7" s="1"/>
      <c r="L7" s="1"/>
      <c r="N7" s="1"/>
    </row>
    <row r="8" spans="2:14" x14ac:dyDescent="0.3">
      <c r="B8" t="s">
        <v>32</v>
      </c>
      <c r="E8" s="8">
        <v>9000</v>
      </c>
      <c r="J8" s="2" t="s">
        <v>335</v>
      </c>
      <c r="K8" s="1"/>
      <c r="L8" s="1"/>
      <c r="N8" s="1"/>
    </row>
    <row r="9" spans="2:14" x14ac:dyDescent="0.3">
      <c r="B9" t="s">
        <v>33</v>
      </c>
      <c r="J9" t="s">
        <v>64</v>
      </c>
      <c r="K9" s="1">
        <v>4000</v>
      </c>
      <c r="L9" s="1"/>
      <c r="M9" t="s">
        <v>81</v>
      </c>
      <c r="N9" s="1">
        <f>4000</f>
        <v>4000</v>
      </c>
    </row>
    <row r="10" spans="2:14" x14ac:dyDescent="0.3">
      <c r="B10" t="s">
        <v>7</v>
      </c>
      <c r="C10" s="8"/>
      <c r="D10" s="8"/>
      <c r="J10" t="s">
        <v>65</v>
      </c>
      <c r="K10" s="1">
        <v>4000</v>
      </c>
      <c r="L10" s="1"/>
      <c r="M10" t="s">
        <v>64</v>
      </c>
      <c r="N10" s="1">
        <f>4000</f>
        <v>4000</v>
      </c>
    </row>
    <row r="11" spans="2:14" x14ac:dyDescent="0.3">
      <c r="B11" t="s">
        <v>34</v>
      </c>
      <c r="C11" s="8"/>
      <c r="D11" s="8"/>
      <c r="E11" s="1">
        <v>2500</v>
      </c>
      <c r="J11" t="s">
        <v>66</v>
      </c>
      <c r="K11" s="1">
        <v>3000</v>
      </c>
      <c r="L11" s="1"/>
      <c r="M11" t="s">
        <v>82</v>
      </c>
      <c r="N11" s="1">
        <v>1950</v>
      </c>
    </row>
    <row r="12" spans="2:14" x14ac:dyDescent="0.3">
      <c r="B12" t="s">
        <v>45</v>
      </c>
      <c r="C12" s="8">
        <f>4000+4000+2000+3000+2000</f>
        <v>15000</v>
      </c>
      <c r="D12" s="8"/>
      <c r="J12" t="s">
        <v>67</v>
      </c>
      <c r="K12" s="1">
        <v>1950</v>
      </c>
      <c r="L12" s="1"/>
      <c r="M12" t="s">
        <v>83</v>
      </c>
      <c r="N12" s="1">
        <v>3000</v>
      </c>
    </row>
    <row r="13" spans="2:14" x14ac:dyDescent="0.3">
      <c r="B13" t="s">
        <v>48</v>
      </c>
      <c r="E13" s="8">
        <v>20300</v>
      </c>
      <c r="K13" s="3">
        <f>SUM(K9:K12)</f>
        <v>12950</v>
      </c>
      <c r="L13" s="1"/>
      <c r="M13" t="s">
        <v>84</v>
      </c>
      <c r="N13" s="1">
        <v>2050</v>
      </c>
    </row>
    <row r="14" spans="2:14" x14ac:dyDescent="0.3">
      <c r="B14" t="s">
        <v>50</v>
      </c>
      <c r="E14" s="8">
        <v>20000</v>
      </c>
      <c r="K14" s="1"/>
      <c r="L14" s="1"/>
      <c r="N14" s="3">
        <f>SUM(N9:N13)</f>
        <v>15000</v>
      </c>
    </row>
    <row r="15" spans="2:14" x14ac:dyDescent="0.3">
      <c r="B15" t="s">
        <v>51</v>
      </c>
      <c r="K15" s="1"/>
      <c r="L15" s="1"/>
      <c r="N15" s="1"/>
    </row>
    <row r="16" spans="2:14" x14ac:dyDescent="0.3">
      <c r="B16" t="s">
        <v>49</v>
      </c>
      <c r="H16" s="1" t="s">
        <v>77</v>
      </c>
      <c r="N16" s="1"/>
    </row>
    <row r="17" spans="2:14" x14ac:dyDescent="0.3">
      <c r="B17" t="s">
        <v>54</v>
      </c>
      <c r="H17" s="1" t="s">
        <v>73</v>
      </c>
      <c r="N17" s="1">
        <v>135000</v>
      </c>
    </row>
    <row r="18" spans="2:14" x14ac:dyDescent="0.3">
      <c r="B18" t="s">
        <v>52</v>
      </c>
      <c r="H18" s="1" t="s">
        <v>74</v>
      </c>
      <c r="N18" s="1">
        <v>80000</v>
      </c>
    </row>
    <row r="19" spans="2:14" x14ac:dyDescent="0.3">
      <c r="B19" t="s">
        <v>72</v>
      </c>
      <c r="C19" s="16">
        <f>250000*0.04</f>
        <v>10000</v>
      </c>
      <c r="H19" s="1" t="s">
        <v>75</v>
      </c>
      <c r="N19" s="1">
        <f>N17-N18</f>
        <v>55000</v>
      </c>
    </row>
    <row r="20" spans="2:14" x14ac:dyDescent="0.3">
      <c r="B20" t="s">
        <v>35</v>
      </c>
      <c r="H20" s="1" t="s">
        <v>76</v>
      </c>
      <c r="M20" t="s">
        <v>85</v>
      </c>
      <c r="N20" s="1">
        <v>12000</v>
      </c>
    </row>
    <row r="21" spans="2:14" s="1" customFormat="1" x14ac:dyDescent="0.3">
      <c r="B21" t="s">
        <v>55</v>
      </c>
      <c r="F21" s="8"/>
      <c r="J21"/>
      <c r="K21"/>
      <c r="L21"/>
      <c r="M21" s="1" t="s">
        <v>86</v>
      </c>
      <c r="N21" s="1">
        <v>2784</v>
      </c>
    </row>
    <row r="22" spans="2:14" s="1" customFormat="1" x14ac:dyDescent="0.3">
      <c r="B22" s="1" t="s">
        <v>78</v>
      </c>
      <c r="D22" s="1">
        <f>7*1050</f>
        <v>7350</v>
      </c>
      <c r="F22" s="8"/>
      <c r="J22"/>
      <c r="K22"/>
      <c r="L22"/>
      <c r="N22" s="3">
        <f>N19-N20-N21</f>
        <v>40216</v>
      </c>
    </row>
    <row r="23" spans="2:14" s="1" customFormat="1" x14ac:dyDescent="0.3">
      <c r="B23" s="1" t="s">
        <v>79</v>
      </c>
      <c r="D23" s="1">
        <v>12000</v>
      </c>
      <c r="F23" s="8"/>
      <c r="J23"/>
      <c r="K23"/>
      <c r="L23"/>
    </row>
    <row r="24" spans="2:14" s="1" customFormat="1" x14ac:dyDescent="0.3">
      <c r="B24"/>
      <c r="C24" s="15">
        <f>SUM(C2:C22)</f>
        <v>207784</v>
      </c>
      <c r="D24" s="15"/>
      <c r="E24" s="15">
        <f>SUM(E2:E22)</f>
        <v>54800</v>
      </c>
      <c r="F24" s="23"/>
      <c r="H24" s="1">
        <f>15*30</f>
        <v>450</v>
      </c>
      <c r="J24"/>
      <c r="K24"/>
      <c r="L24"/>
      <c r="N24" s="1">
        <v>78000</v>
      </c>
    </row>
    <row r="25" spans="2:14" x14ac:dyDescent="0.3">
      <c r="H25" s="1" t="s">
        <v>80</v>
      </c>
      <c r="N25" s="1">
        <v>40000</v>
      </c>
    </row>
    <row r="26" spans="2:14" x14ac:dyDescent="0.3">
      <c r="N26" s="6">
        <f>SUM(N24:N25)</f>
        <v>118000</v>
      </c>
    </row>
    <row r="30" spans="2:14" s="1" customFormat="1" x14ac:dyDescent="0.3">
      <c r="B30" s="18" t="s">
        <v>56</v>
      </c>
      <c r="C30"/>
      <c r="D30"/>
      <c r="E30"/>
      <c r="F30"/>
      <c r="G30"/>
      <c r="H30"/>
      <c r="J30"/>
      <c r="K30"/>
      <c r="L30"/>
    </row>
    <row r="31" spans="2:14" x14ac:dyDescent="0.3">
      <c r="B31" s="18" t="s">
        <v>57</v>
      </c>
      <c r="C31" s="19">
        <v>1159</v>
      </c>
      <c r="D31" s="19"/>
      <c r="E31" t="s">
        <v>58</v>
      </c>
      <c r="F31" s="19"/>
      <c r="G31" s="19"/>
      <c r="H31" s="19"/>
    </row>
    <row r="32" spans="2:14" s="1" customFormat="1" x14ac:dyDescent="0.3">
      <c r="B32" s="18" t="s">
        <v>59</v>
      </c>
      <c r="C32" s="19">
        <v>3499</v>
      </c>
      <c r="D32" s="19"/>
      <c r="E32" t="s">
        <v>58</v>
      </c>
      <c r="F32" s="19"/>
      <c r="G32" s="19"/>
      <c r="H32" s="19"/>
      <c r="J32"/>
      <c r="K32"/>
      <c r="L32"/>
    </row>
    <row r="33" spans="2:12" s="1" customFormat="1" x14ac:dyDescent="0.3">
      <c r="B33" s="18" t="s">
        <v>60</v>
      </c>
      <c r="C33" s="19">
        <v>3499</v>
      </c>
      <c r="D33" s="19"/>
      <c r="E33" t="s">
        <v>58</v>
      </c>
      <c r="F33" s="19"/>
      <c r="G33" s="19"/>
      <c r="H33" s="19"/>
      <c r="J33"/>
      <c r="K33"/>
      <c r="L33"/>
    </row>
    <row r="34" spans="2:12" x14ac:dyDescent="0.3">
      <c r="B34" s="18" t="s">
        <v>61</v>
      </c>
      <c r="C34" s="19">
        <v>2327</v>
      </c>
      <c r="D34" s="19"/>
      <c r="E34" t="s">
        <v>58</v>
      </c>
      <c r="F34" s="19"/>
      <c r="G34" s="19"/>
      <c r="H34" s="19"/>
    </row>
    <row r="35" spans="2:12" x14ac:dyDescent="0.3">
      <c r="C35" s="20">
        <f>SUM(C31:C34)</f>
        <v>10484</v>
      </c>
      <c r="D35" s="20"/>
      <c r="F35" s="24"/>
      <c r="G35" s="20"/>
      <c r="H35" s="20"/>
    </row>
    <row r="37" spans="2:12" x14ac:dyDescent="0.3">
      <c r="B37" s="18" t="s">
        <v>62</v>
      </c>
      <c r="C37" s="1">
        <v>3493</v>
      </c>
    </row>
    <row r="38" spans="2:12" x14ac:dyDescent="0.3">
      <c r="B38" s="18" t="s">
        <v>63</v>
      </c>
      <c r="C38" s="1">
        <v>3493</v>
      </c>
    </row>
    <row r="39" spans="2:12" x14ac:dyDescent="0.3">
      <c r="C39" s="3">
        <f>SUM(C37:C38)</f>
        <v>6986</v>
      </c>
      <c r="D39" s="3"/>
      <c r="F39" s="25"/>
      <c r="G39" s="3"/>
      <c r="H39" s="3"/>
    </row>
    <row r="40" spans="2:12" x14ac:dyDescent="0.3">
      <c r="C40"/>
      <c r="D40"/>
      <c r="E40"/>
      <c r="F40"/>
      <c r="G40"/>
      <c r="H40"/>
    </row>
    <row r="41" spans="2:12" x14ac:dyDescent="0.3">
      <c r="C41" s="21">
        <f>C35+C39</f>
        <v>17470</v>
      </c>
      <c r="D41" s="21"/>
      <c r="E41"/>
      <c r="F41" s="26"/>
      <c r="G41" s="21"/>
      <c r="H41" s="21"/>
    </row>
    <row r="43" spans="2:12" x14ac:dyDescent="0.3">
      <c r="C43" s="1">
        <v>40000</v>
      </c>
    </row>
    <row r="44" spans="2:12" x14ac:dyDescent="0.3">
      <c r="C44" s="22">
        <f>C41-C43</f>
        <v>-22530</v>
      </c>
      <c r="D44" s="22"/>
      <c r="F44" s="27"/>
      <c r="G44" s="22"/>
      <c r="H44" s="22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648B-696D-490E-BA3C-894EE30BE5D4}">
  <dimension ref="B1:K43"/>
  <sheetViews>
    <sheetView workbookViewId="0">
      <selection activeCell="F1" sqref="F1"/>
    </sheetView>
  </sheetViews>
  <sheetFormatPr baseColWidth="10" defaultRowHeight="14.4" x14ac:dyDescent="0.3"/>
  <cols>
    <col min="1" max="1" width="5.88671875" customWidth="1"/>
    <col min="2" max="2" width="30.33203125" bestFit="1" customWidth="1"/>
    <col min="3" max="3" width="14.6640625" style="1" customWidth="1"/>
    <col min="4" max="4" width="12.44140625" style="1" bestFit="1" customWidth="1"/>
    <col min="5" max="5" width="6.5546875" style="8" customWidth="1"/>
    <col min="6" max="7" width="14.6640625" style="1" customWidth="1"/>
    <col min="8" max="8" width="5" style="1" customWidth="1"/>
  </cols>
  <sheetData>
    <row r="1" spans="2:11" x14ac:dyDescent="0.3">
      <c r="B1" s="2" t="s">
        <v>47</v>
      </c>
      <c r="F1" s="3" t="s">
        <v>336</v>
      </c>
    </row>
    <row r="2" spans="2:11" x14ac:dyDescent="0.3">
      <c r="B2" t="s">
        <v>44</v>
      </c>
      <c r="C2" s="16">
        <v>110000</v>
      </c>
      <c r="F2" s="1" t="s">
        <v>35</v>
      </c>
      <c r="G2" s="1">
        <v>86000</v>
      </c>
    </row>
    <row r="3" spans="2:11" x14ac:dyDescent="0.3">
      <c r="B3" t="s">
        <v>16</v>
      </c>
      <c r="F3" s="1" t="s">
        <v>46</v>
      </c>
      <c r="G3" s="1">
        <v>40000</v>
      </c>
    </row>
    <row r="4" spans="2:11" x14ac:dyDescent="0.3">
      <c r="B4" t="s">
        <v>16</v>
      </c>
      <c r="F4" s="1" t="s">
        <v>69</v>
      </c>
      <c r="G4" s="1">
        <v>12000</v>
      </c>
    </row>
    <row r="5" spans="2:11" x14ac:dyDescent="0.3">
      <c r="B5" t="s">
        <v>30</v>
      </c>
      <c r="D5" s="8">
        <v>50000</v>
      </c>
    </row>
    <row r="6" spans="2:11" x14ac:dyDescent="0.3">
      <c r="B6" t="s">
        <v>31</v>
      </c>
      <c r="D6" s="8">
        <v>20000</v>
      </c>
      <c r="G6" s="15">
        <f>SUM(G2:G4)</f>
        <v>138000</v>
      </c>
    </row>
    <row r="7" spans="2:11" x14ac:dyDescent="0.3">
      <c r="B7" t="s">
        <v>8</v>
      </c>
      <c r="D7" s="8">
        <v>3000</v>
      </c>
      <c r="J7" s="1"/>
      <c r="K7" s="1"/>
    </row>
    <row r="8" spans="2:11" x14ac:dyDescent="0.3">
      <c r="B8" t="s">
        <v>32</v>
      </c>
      <c r="D8" s="8">
        <v>9000</v>
      </c>
      <c r="I8" s="2" t="s">
        <v>335</v>
      </c>
      <c r="J8" s="1"/>
      <c r="K8" s="1"/>
    </row>
    <row r="9" spans="2:11" x14ac:dyDescent="0.3">
      <c r="B9" t="s">
        <v>33</v>
      </c>
      <c r="I9" t="s">
        <v>64</v>
      </c>
      <c r="J9" s="1">
        <v>4000</v>
      </c>
      <c r="K9" s="1"/>
    </row>
    <row r="10" spans="2:11" x14ac:dyDescent="0.3">
      <c r="B10" t="s">
        <v>7</v>
      </c>
      <c r="C10" s="8"/>
      <c r="I10" t="s">
        <v>65</v>
      </c>
      <c r="J10" s="1">
        <v>4000</v>
      </c>
      <c r="K10" s="1"/>
    </row>
    <row r="11" spans="2:11" x14ac:dyDescent="0.3">
      <c r="B11" t="s">
        <v>34</v>
      </c>
      <c r="C11" s="8"/>
      <c r="D11" s="1">
        <v>2500</v>
      </c>
      <c r="I11" t="s">
        <v>66</v>
      </c>
      <c r="J11" s="1">
        <v>3000</v>
      </c>
      <c r="K11" s="1"/>
    </row>
    <row r="12" spans="2:11" x14ac:dyDescent="0.3">
      <c r="B12" t="s">
        <v>45</v>
      </c>
      <c r="C12" s="16">
        <v>13000</v>
      </c>
      <c r="I12" t="s">
        <v>67</v>
      </c>
      <c r="J12" s="1">
        <v>1950</v>
      </c>
      <c r="K12" s="1"/>
    </row>
    <row r="13" spans="2:11" x14ac:dyDescent="0.3">
      <c r="B13" t="s">
        <v>48</v>
      </c>
      <c r="D13" s="8">
        <v>20300</v>
      </c>
      <c r="J13" s="3">
        <f>SUM(J9:J12)</f>
        <v>12950</v>
      </c>
      <c r="K13" s="1"/>
    </row>
    <row r="14" spans="2:11" x14ac:dyDescent="0.3">
      <c r="B14" t="s">
        <v>50</v>
      </c>
      <c r="D14" s="8">
        <v>20000</v>
      </c>
      <c r="J14" s="1"/>
      <c r="K14" s="1"/>
    </row>
    <row r="15" spans="2:11" x14ac:dyDescent="0.3">
      <c r="B15" t="s">
        <v>51</v>
      </c>
      <c r="J15" s="1"/>
      <c r="K15" s="1"/>
    </row>
    <row r="16" spans="2:11" x14ac:dyDescent="0.3">
      <c r="B16" t="s">
        <v>49</v>
      </c>
    </row>
    <row r="17" spans="2:11" x14ac:dyDescent="0.3">
      <c r="B17" t="s">
        <v>54</v>
      </c>
    </row>
    <row r="18" spans="2:11" x14ac:dyDescent="0.3">
      <c r="B18" t="s">
        <v>52</v>
      </c>
    </row>
    <row r="19" spans="2:11" x14ac:dyDescent="0.3">
      <c r="B19" t="s">
        <v>53</v>
      </c>
    </row>
    <row r="20" spans="2:11" x14ac:dyDescent="0.3">
      <c r="B20" t="s">
        <v>35</v>
      </c>
    </row>
    <row r="21" spans="2:11" s="1" customFormat="1" x14ac:dyDescent="0.3">
      <c r="B21" t="s">
        <v>55</v>
      </c>
      <c r="E21" s="8"/>
      <c r="I21"/>
      <c r="J21"/>
      <c r="K21"/>
    </row>
    <row r="22" spans="2:11" s="1" customFormat="1" x14ac:dyDescent="0.3">
      <c r="B22" t="s">
        <v>68</v>
      </c>
      <c r="C22" s="16">
        <v>17470</v>
      </c>
      <c r="E22" s="8"/>
      <c r="I22"/>
      <c r="J22"/>
      <c r="K22"/>
    </row>
    <row r="23" spans="2:11" s="1" customFormat="1" x14ac:dyDescent="0.3">
      <c r="B23"/>
      <c r="C23" s="15">
        <f>SUM(C2:C22)</f>
        <v>140470</v>
      </c>
      <c r="D23" s="15">
        <f>SUM(D2:D22)</f>
        <v>124800</v>
      </c>
      <c r="E23" s="23"/>
      <c r="I23"/>
      <c r="J23"/>
      <c r="K23"/>
    </row>
    <row r="29" spans="2:11" s="1" customFormat="1" x14ac:dyDescent="0.3">
      <c r="B29" s="18" t="s">
        <v>56</v>
      </c>
      <c r="C29"/>
      <c r="D29"/>
      <c r="E29"/>
      <c r="F29"/>
      <c r="G29"/>
      <c r="I29"/>
      <c r="J29"/>
      <c r="K29"/>
    </row>
    <row r="30" spans="2:11" x14ac:dyDescent="0.3">
      <c r="B30" s="18" t="s">
        <v>57</v>
      </c>
      <c r="C30" s="19">
        <v>1159</v>
      </c>
      <c r="D30" t="s">
        <v>58</v>
      </c>
      <c r="E30" s="19"/>
      <c r="F30" s="19"/>
      <c r="G30" s="19"/>
    </row>
    <row r="31" spans="2:11" s="1" customFormat="1" x14ac:dyDescent="0.3">
      <c r="B31" s="18" t="s">
        <v>59</v>
      </c>
      <c r="C31" s="19">
        <v>3499</v>
      </c>
      <c r="D31" t="s">
        <v>58</v>
      </c>
      <c r="E31" s="19"/>
      <c r="F31" s="19"/>
      <c r="G31" s="19"/>
      <c r="I31"/>
      <c r="J31"/>
      <c r="K31"/>
    </row>
    <row r="32" spans="2:11" s="1" customFormat="1" x14ac:dyDescent="0.3">
      <c r="B32" s="18" t="s">
        <v>60</v>
      </c>
      <c r="C32" s="19">
        <v>3499</v>
      </c>
      <c r="D32" t="s">
        <v>58</v>
      </c>
      <c r="E32" s="19"/>
      <c r="F32" s="19"/>
      <c r="G32" s="19"/>
      <c r="I32"/>
      <c r="J32"/>
      <c r="K32"/>
    </row>
    <row r="33" spans="2:7" x14ac:dyDescent="0.3">
      <c r="B33" s="18" t="s">
        <v>61</v>
      </c>
      <c r="C33" s="19">
        <v>2327</v>
      </c>
      <c r="D33" t="s">
        <v>58</v>
      </c>
      <c r="E33" s="19"/>
      <c r="F33" s="19"/>
      <c r="G33" s="19"/>
    </row>
    <row r="34" spans="2:7" x14ac:dyDescent="0.3">
      <c r="C34" s="20">
        <f>SUM(C30:C33)</f>
        <v>10484</v>
      </c>
      <c r="E34" s="24"/>
      <c r="F34" s="20"/>
      <c r="G34" s="20"/>
    </row>
    <row r="36" spans="2:7" x14ac:dyDescent="0.3">
      <c r="B36" s="18" t="s">
        <v>62</v>
      </c>
      <c r="C36" s="1">
        <v>3493</v>
      </c>
    </row>
    <row r="37" spans="2:7" x14ac:dyDescent="0.3">
      <c r="B37" s="18" t="s">
        <v>63</v>
      </c>
      <c r="C37" s="1">
        <v>3493</v>
      </c>
    </row>
    <row r="38" spans="2:7" x14ac:dyDescent="0.3">
      <c r="C38" s="3">
        <f>SUM(C36:C37)</f>
        <v>6986</v>
      </c>
      <c r="E38" s="25"/>
      <c r="F38" s="3"/>
      <c r="G38" s="3"/>
    </row>
    <row r="39" spans="2:7" x14ac:dyDescent="0.3">
      <c r="C39"/>
      <c r="D39"/>
      <c r="E39"/>
      <c r="F39"/>
      <c r="G39"/>
    </row>
    <row r="40" spans="2:7" x14ac:dyDescent="0.3">
      <c r="C40" s="21">
        <f>C34+C38</f>
        <v>17470</v>
      </c>
      <c r="D40"/>
      <c r="E40" s="26"/>
      <c r="F40" s="21"/>
      <c r="G40" s="21"/>
    </row>
    <row r="42" spans="2:7" x14ac:dyDescent="0.3">
      <c r="C42" s="1">
        <v>40000</v>
      </c>
    </row>
    <row r="43" spans="2:7" x14ac:dyDescent="0.3">
      <c r="C43" s="22">
        <f>C40-C42</f>
        <v>-22530</v>
      </c>
      <c r="E43" s="27"/>
      <c r="F43" s="22"/>
      <c r="G43" s="22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FD5B-4D67-4EC7-9D01-8D9812803B91}">
  <dimension ref="B1:H31"/>
  <sheetViews>
    <sheetView workbookViewId="0">
      <selection activeCell="C22" sqref="C22"/>
    </sheetView>
  </sheetViews>
  <sheetFormatPr baseColWidth="10" defaultRowHeight="14.4" x14ac:dyDescent="0.3"/>
  <cols>
    <col min="2" max="2" width="30.33203125" bestFit="1" customWidth="1"/>
    <col min="3" max="3" width="14.6640625" style="1" customWidth="1"/>
    <col min="4" max="4" width="12.44140625" style="1" bestFit="1" customWidth="1"/>
    <col min="5" max="5" width="11.88671875" style="1" customWidth="1"/>
    <col min="6" max="6" width="17.33203125" style="1" bestFit="1" customWidth="1"/>
    <col min="7" max="7" width="13.6640625" style="1" customWidth="1"/>
    <col min="8" max="8" width="11.5546875" style="1"/>
  </cols>
  <sheetData>
    <row r="1" spans="2:7" x14ac:dyDescent="0.3">
      <c r="B1" s="2" t="s">
        <v>47</v>
      </c>
    </row>
    <row r="2" spans="2:7" x14ac:dyDescent="0.3">
      <c r="B2" t="s">
        <v>44</v>
      </c>
      <c r="C2" s="16">
        <v>115000</v>
      </c>
      <c r="F2" s="1" t="s">
        <v>35</v>
      </c>
      <c r="G2" s="1">
        <v>130000</v>
      </c>
    </row>
    <row r="3" spans="2:7" x14ac:dyDescent="0.3">
      <c r="B3" t="s">
        <v>16</v>
      </c>
      <c r="C3" s="16">
        <v>30000</v>
      </c>
      <c r="F3" s="1" t="s">
        <v>36</v>
      </c>
    </row>
    <row r="4" spans="2:7" x14ac:dyDescent="0.3">
      <c r="B4" t="s">
        <v>16</v>
      </c>
      <c r="D4" s="16">
        <v>50136</v>
      </c>
      <c r="F4" s="1" t="s">
        <v>37</v>
      </c>
      <c r="G4" s="1">
        <v>105000</v>
      </c>
    </row>
    <row r="5" spans="2:7" x14ac:dyDescent="0.3">
      <c r="B5" t="s">
        <v>30</v>
      </c>
      <c r="C5" s="16">
        <v>50000</v>
      </c>
      <c r="F5" s="1" t="s">
        <v>46</v>
      </c>
      <c r="G5" s="1">
        <v>60000</v>
      </c>
    </row>
    <row r="6" spans="2:7" x14ac:dyDescent="0.3">
      <c r="B6" t="s">
        <v>31</v>
      </c>
      <c r="C6" s="8">
        <v>20000</v>
      </c>
      <c r="G6" s="15">
        <f>SUM(G2:G5)</f>
        <v>295000</v>
      </c>
    </row>
    <row r="7" spans="2:7" x14ac:dyDescent="0.3">
      <c r="B7" t="s">
        <v>8</v>
      </c>
      <c r="C7" s="8">
        <v>3000</v>
      </c>
    </row>
    <row r="8" spans="2:7" x14ac:dyDescent="0.3">
      <c r="B8" t="s">
        <v>32</v>
      </c>
      <c r="C8" s="8">
        <v>9000</v>
      </c>
    </row>
    <row r="9" spans="2:7" x14ac:dyDescent="0.3">
      <c r="B9" t="s">
        <v>33</v>
      </c>
      <c r="D9" s="16">
        <v>12006</v>
      </c>
    </row>
    <row r="10" spans="2:7" x14ac:dyDescent="0.3">
      <c r="B10" t="s">
        <v>7</v>
      </c>
      <c r="C10" s="8"/>
      <c r="E10" s="1">
        <v>16240</v>
      </c>
    </row>
    <row r="11" spans="2:7" x14ac:dyDescent="0.3">
      <c r="B11" t="s">
        <v>34</v>
      </c>
      <c r="C11" s="8"/>
      <c r="E11" s="1">
        <v>2500</v>
      </c>
    </row>
    <row r="12" spans="2:7" x14ac:dyDescent="0.3">
      <c r="B12" t="s">
        <v>45</v>
      </c>
      <c r="C12" s="16">
        <v>30000</v>
      </c>
    </row>
    <row r="13" spans="2:7" x14ac:dyDescent="0.3">
      <c r="B13" t="s">
        <v>48</v>
      </c>
      <c r="E13" s="8">
        <v>20300</v>
      </c>
    </row>
    <row r="14" spans="2:7" x14ac:dyDescent="0.3">
      <c r="B14" t="s">
        <v>50</v>
      </c>
      <c r="E14" s="8">
        <v>20000</v>
      </c>
    </row>
    <row r="15" spans="2:7" x14ac:dyDescent="0.3">
      <c r="B15" t="s">
        <v>51</v>
      </c>
      <c r="C15" s="1">
        <v>20000</v>
      </c>
    </row>
    <row r="16" spans="2:7" x14ac:dyDescent="0.3">
      <c r="B16" t="s">
        <v>49</v>
      </c>
    </row>
    <row r="17" spans="2:4" x14ac:dyDescent="0.3">
      <c r="B17" t="s">
        <v>54</v>
      </c>
      <c r="D17" s="16">
        <v>16240</v>
      </c>
    </row>
    <row r="18" spans="2:4" x14ac:dyDescent="0.3">
      <c r="B18" t="s">
        <v>52</v>
      </c>
      <c r="C18" s="16">
        <v>15000</v>
      </c>
    </row>
    <row r="19" spans="2:4" x14ac:dyDescent="0.3">
      <c r="B19" t="s">
        <v>53</v>
      </c>
      <c r="D19" s="16">
        <v>3000</v>
      </c>
    </row>
    <row r="20" spans="2:4" x14ac:dyDescent="0.3">
      <c r="B20" t="s">
        <v>35</v>
      </c>
      <c r="D20" s="16">
        <v>20000</v>
      </c>
    </row>
    <row r="21" spans="2:4" x14ac:dyDescent="0.3">
      <c r="B21" t="s">
        <v>55</v>
      </c>
      <c r="D21" s="16">
        <v>25800</v>
      </c>
    </row>
    <row r="22" spans="2:4" x14ac:dyDescent="0.3">
      <c r="C22" s="15">
        <f>SUM(C2:C21)</f>
        <v>292000</v>
      </c>
      <c r="D22" s="15">
        <f>SUM(D2:D21)</f>
        <v>127182</v>
      </c>
    </row>
    <row r="28" spans="2:4" x14ac:dyDescent="0.3">
      <c r="B28" s="2"/>
      <c r="C28" s="3"/>
    </row>
    <row r="30" spans="2:4" x14ac:dyDescent="0.3">
      <c r="B30" s="13"/>
      <c r="C30" s="14"/>
    </row>
    <row r="31" spans="2:4" x14ac:dyDescent="0.3">
      <c r="C31" s="1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277C-A48C-44C5-9098-E1F7E47F1265}">
  <dimension ref="B1:H24"/>
  <sheetViews>
    <sheetView workbookViewId="0">
      <selection activeCell="C25" sqref="C25"/>
    </sheetView>
  </sheetViews>
  <sheetFormatPr baseColWidth="10" defaultRowHeight="14.4" x14ac:dyDescent="0.3"/>
  <cols>
    <col min="2" max="2" width="30.33203125" bestFit="1" customWidth="1"/>
    <col min="3" max="3" width="14.6640625" style="1" customWidth="1"/>
    <col min="4" max="4" width="11.88671875" style="1" bestFit="1" customWidth="1"/>
    <col min="5" max="5" width="11.88671875" style="1" customWidth="1"/>
    <col min="6" max="6" width="17.33203125" style="1" bestFit="1" customWidth="1"/>
    <col min="7" max="7" width="13.6640625" style="1" customWidth="1"/>
    <col min="8" max="8" width="11.5546875" style="1"/>
  </cols>
  <sheetData>
    <row r="1" spans="2:7" x14ac:dyDescent="0.3">
      <c r="B1" s="2" t="s">
        <v>47</v>
      </c>
    </row>
    <row r="2" spans="2:7" x14ac:dyDescent="0.3">
      <c r="B2" t="s">
        <v>44</v>
      </c>
      <c r="C2" s="16">
        <v>130000</v>
      </c>
      <c r="F2" s="1" t="s">
        <v>35</v>
      </c>
      <c r="G2" s="1">
        <v>80000</v>
      </c>
    </row>
    <row r="3" spans="2:7" x14ac:dyDescent="0.3">
      <c r="B3" t="s">
        <v>16</v>
      </c>
      <c r="C3" s="16">
        <v>50000</v>
      </c>
      <c r="F3" s="1" t="s">
        <v>36</v>
      </c>
      <c r="G3" s="1">
        <v>175500.79999999999</v>
      </c>
    </row>
    <row r="4" spans="2:7" x14ac:dyDescent="0.3">
      <c r="B4" t="s">
        <v>29</v>
      </c>
      <c r="C4" s="1">
        <v>37000</v>
      </c>
      <c r="F4" s="1" t="s">
        <v>37</v>
      </c>
    </row>
    <row r="5" spans="2:7" x14ac:dyDescent="0.3">
      <c r="B5" t="s">
        <v>30</v>
      </c>
      <c r="C5" s="1">
        <v>30000</v>
      </c>
      <c r="F5" s="1" t="s">
        <v>46</v>
      </c>
      <c r="G5" s="1">
        <v>48000</v>
      </c>
    </row>
    <row r="6" spans="2:7" x14ac:dyDescent="0.3">
      <c r="B6" t="s">
        <v>31</v>
      </c>
      <c r="C6" s="16">
        <v>10000</v>
      </c>
      <c r="G6" s="15">
        <f>SUM(G2:G5)</f>
        <v>303500.79999999999</v>
      </c>
    </row>
    <row r="7" spans="2:7" x14ac:dyDescent="0.3">
      <c r="B7" t="s">
        <v>8</v>
      </c>
      <c r="C7" s="1">
        <v>3000</v>
      </c>
    </row>
    <row r="8" spans="2:7" x14ac:dyDescent="0.3">
      <c r="B8" t="s">
        <v>32</v>
      </c>
      <c r="C8" s="1">
        <v>9000</v>
      </c>
    </row>
    <row r="9" spans="2:7" x14ac:dyDescent="0.3">
      <c r="B9" t="s">
        <v>33</v>
      </c>
      <c r="C9" s="16">
        <v>12006</v>
      </c>
    </row>
    <row r="10" spans="2:7" x14ac:dyDescent="0.3">
      <c r="B10" t="s">
        <v>7</v>
      </c>
      <c r="D10" s="1">
        <v>16240</v>
      </c>
    </row>
    <row r="11" spans="2:7" x14ac:dyDescent="0.3">
      <c r="B11" t="s">
        <v>34</v>
      </c>
      <c r="D11" s="1">
        <v>2500</v>
      </c>
    </row>
    <row r="12" spans="2:7" x14ac:dyDescent="0.3">
      <c r="B12" t="s">
        <v>45</v>
      </c>
      <c r="C12" s="16">
        <v>30000</v>
      </c>
    </row>
    <row r="15" spans="2:7" x14ac:dyDescent="0.3">
      <c r="C15" s="15">
        <f>SUM(C2:C14)</f>
        <v>311006</v>
      </c>
    </row>
    <row r="19" spans="2:4" x14ac:dyDescent="0.3">
      <c r="B19" t="s">
        <v>38</v>
      </c>
      <c r="C19" s="1">
        <v>1906.7</v>
      </c>
      <c r="D19" s="1" t="s">
        <v>41</v>
      </c>
    </row>
    <row r="20" spans="2:4" x14ac:dyDescent="0.3">
      <c r="B20" t="s">
        <v>39</v>
      </c>
      <c r="C20" s="1">
        <v>5253.25</v>
      </c>
      <c r="D20" s="1" t="s">
        <v>41</v>
      </c>
    </row>
    <row r="21" spans="2:4" x14ac:dyDescent="0.3">
      <c r="B21" s="2" t="s">
        <v>42</v>
      </c>
      <c r="C21" s="3">
        <f>SUM(C19:C20)</f>
        <v>7159.95</v>
      </c>
    </row>
    <row r="22" spans="2:4" x14ac:dyDescent="0.3">
      <c r="B22" t="s">
        <v>40</v>
      </c>
      <c r="C22" s="1">
        <v>2000</v>
      </c>
    </row>
    <row r="23" spans="2:4" x14ac:dyDescent="0.3">
      <c r="B23" s="13" t="s">
        <v>43</v>
      </c>
      <c r="C23" s="14">
        <f>C21-C22</f>
        <v>5159.95</v>
      </c>
    </row>
    <row r="24" spans="2:4" x14ac:dyDescent="0.3">
      <c r="C24" s="17">
        <f>C23*7.5</f>
        <v>38699.625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F00E-ECA2-43C8-9A38-9B01727D8498}">
  <dimension ref="B3:M28"/>
  <sheetViews>
    <sheetView workbookViewId="0">
      <selection activeCell="H20" sqref="H20"/>
    </sheetView>
  </sheetViews>
  <sheetFormatPr baseColWidth="10" defaultRowHeight="14.4" x14ac:dyDescent="0.3"/>
  <cols>
    <col min="2" max="2" width="25.44140625" customWidth="1"/>
    <col min="3" max="3" width="14.88671875" style="1" customWidth="1"/>
    <col min="7" max="7" width="32.88671875" bestFit="1" customWidth="1"/>
    <col min="11" max="11" width="11.5546875" style="1"/>
    <col min="13" max="13" width="11.5546875" style="1"/>
  </cols>
  <sheetData>
    <row r="3" spans="2:13" x14ac:dyDescent="0.3">
      <c r="B3" t="s">
        <v>0</v>
      </c>
      <c r="C3" s="7">
        <v>41000</v>
      </c>
    </row>
    <row r="4" spans="2:13" x14ac:dyDescent="0.3">
      <c r="B4" t="s">
        <v>1</v>
      </c>
      <c r="C4" s="7">
        <v>44205.22</v>
      </c>
      <c r="D4" s="6">
        <f>SUM(C3:C4)</f>
        <v>85205.22</v>
      </c>
    </row>
    <row r="5" spans="2:13" x14ac:dyDescent="0.3">
      <c r="B5" t="s">
        <v>16</v>
      </c>
      <c r="C5" s="7">
        <v>48374.59</v>
      </c>
      <c r="G5" t="s">
        <v>2</v>
      </c>
      <c r="H5" s="10">
        <v>45000</v>
      </c>
      <c r="K5" s="1">
        <v>20000</v>
      </c>
      <c r="M5" s="1">
        <v>76000</v>
      </c>
    </row>
    <row r="6" spans="2:13" x14ac:dyDescent="0.3">
      <c r="B6" t="s">
        <v>2</v>
      </c>
      <c r="C6" s="1">
        <v>40000</v>
      </c>
      <c r="G6" t="s">
        <v>4</v>
      </c>
      <c r="H6" s="10">
        <v>90000</v>
      </c>
      <c r="I6" s="5">
        <v>205495.79200000002</v>
      </c>
      <c r="M6" s="1">
        <v>16000</v>
      </c>
    </row>
    <row r="7" spans="2:13" x14ac:dyDescent="0.3">
      <c r="B7" t="s">
        <v>3</v>
      </c>
      <c r="C7" s="10">
        <v>10000</v>
      </c>
      <c r="G7" t="s">
        <v>7</v>
      </c>
      <c r="H7" s="1">
        <v>16240</v>
      </c>
      <c r="M7" s="3">
        <f>SUM(M5:M6)</f>
        <v>92000</v>
      </c>
    </row>
    <row r="8" spans="2:13" x14ac:dyDescent="0.3">
      <c r="B8" t="s">
        <v>4</v>
      </c>
      <c r="C8" s="5">
        <v>205495.79200000002</v>
      </c>
      <c r="G8" t="s">
        <v>8</v>
      </c>
      <c r="H8" s="1">
        <v>2784</v>
      </c>
    </row>
    <row r="9" spans="2:13" x14ac:dyDescent="0.3">
      <c r="B9" t="s">
        <v>5</v>
      </c>
      <c r="C9" s="9">
        <v>230111.28</v>
      </c>
      <c r="H9" s="1"/>
    </row>
    <row r="10" spans="2:13" x14ac:dyDescent="0.3">
      <c r="B10" t="s">
        <v>6</v>
      </c>
      <c r="C10" s="7">
        <f>2427*27</f>
        <v>65529</v>
      </c>
      <c r="G10" s="1" t="s">
        <v>17</v>
      </c>
      <c r="H10" s="10">
        <v>35323</v>
      </c>
    </row>
    <row r="11" spans="2:13" x14ac:dyDescent="0.3">
      <c r="B11" t="s">
        <v>7</v>
      </c>
      <c r="C11" s="1">
        <v>16240</v>
      </c>
      <c r="G11" s="1" t="s">
        <v>18</v>
      </c>
      <c r="H11" s="10">
        <v>49074.84</v>
      </c>
    </row>
    <row r="12" spans="2:13" x14ac:dyDescent="0.3">
      <c r="B12" t="s">
        <v>8</v>
      </c>
      <c r="C12" s="1">
        <v>2784</v>
      </c>
      <c r="G12" s="1" t="s">
        <v>20</v>
      </c>
      <c r="H12" s="10">
        <v>4060</v>
      </c>
    </row>
    <row r="13" spans="2:13" x14ac:dyDescent="0.3">
      <c r="B13" t="s">
        <v>9</v>
      </c>
      <c r="C13" s="10">
        <f>1100*7</f>
        <v>7700</v>
      </c>
      <c r="G13" s="1" t="s">
        <v>21</v>
      </c>
      <c r="H13" s="10">
        <v>4263</v>
      </c>
    </row>
    <row r="14" spans="2:13" x14ac:dyDescent="0.3">
      <c r="B14" t="s">
        <v>10</v>
      </c>
      <c r="C14" s="7">
        <v>2532.4499999999998</v>
      </c>
      <c r="D14" t="s">
        <v>15</v>
      </c>
      <c r="G14" s="1" t="s">
        <v>19</v>
      </c>
      <c r="H14" s="10">
        <v>15000</v>
      </c>
    </row>
    <row r="15" spans="2:13" x14ac:dyDescent="0.3">
      <c r="B15" t="s">
        <v>14</v>
      </c>
      <c r="C15" s="1">
        <v>33000</v>
      </c>
      <c r="G15" s="1" t="s">
        <v>22</v>
      </c>
      <c r="H15" s="10">
        <v>25000</v>
      </c>
    </row>
    <row r="16" spans="2:13" x14ac:dyDescent="0.3">
      <c r="B16" s="2" t="s">
        <v>13</v>
      </c>
      <c r="C16" s="3">
        <f>SUM(C2:C15)</f>
        <v>746972.33199999994</v>
      </c>
      <c r="G16" s="1" t="s">
        <v>25</v>
      </c>
      <c r="H16" s="10">
        <v>3500</v>
      </c>
    </row>
    <row r="17" spans="2:12" x14ac:dyDescent="0.3">
      <c r="B17" s="2"/>
      <c r="C17" s="3"/>
      <c r="G17" s="1" t="s">
        <v>26</v>
      </c>
      <c r="H17" s="1">
        <v>1800</v>
      </c>
    </row>
    <row r="18" spans="2:12" x14ac:dyDescent="0.3">
      <c r="B18" s="2" t="s">
        <v>11</v>
      </c>
      <c r="C18" s="3">
        <v>719568</v>
      </c>
      <c r="G18" s="1" t="s">
        <v>24</v>
      </c>
      <c r="H18" s="10">
        <v>52000</v>
      </c>
      <c r="K18" s="8">
        <f>H18</f>
        <v>52000</v>
      </c>
    </row>
    <row r="19" spans="2:12" x14ac:dyDescent="0.3">
      <c r="B19" s="2"/>
      <c r="C19" s="3"/>
      <c r="G19" s="1" t="s">
        <v>27</v>
      </c>
      <c r="H19" s="10">
        <v>3600</v>
      </c>
      <c r="K19" s="8">
        <v>3600</v>
      </c>
    </row>
    <row r="20" spans="2:12" x14ac:dyDescent="0.3">
      <c r="B20" s="2" t="s">
        <v>12</v>
      </c>
      <c r="C20" s="4">
        <f>C18-C16</f>
        <v>-27404.331999999937</v>
      </c>
      <c r="G20" s="1" t="s">
        <v>28</v>
      </c>
      <c r="H20" s="10">
        <v>2500</v>
      </c>
      <c r="K20" s="8"/>
    </row>
    <row r="21" spans="2:12" x14ac:dyDescent="0.3">
      <c r="H21" s="3">
        <f>SUM(H5:H20)</f>
        <v>350144.83999999997</v>
      </c>
      <c r="I21" s="1"/>
      <c r="K21" s="6">
        <f>SUM(K5:K20)</f>
        <v>75600</v>
      </c>
      <c r="L21" s="6">
        <f>SUM(K17:K20)</f>
        <v>55600</v>
      </c>
    </row>
    <row r="22" spans="2:12" x14ac:dyDescent="0.3">
      <c r="I22" s="1"/>
      <c r="K22" s="11">
        <f>K21-M7</f>
        <v>-16400</v>
      </c>
    </row>
    <row r="23" spans="2:12" x14ac:dyDescent="0.3">
      <c r="G23" t="s">
        <v>14</v>
      </c>
      <c r="H23" s="1">
        <v>166174.69</v>
      </c>
      <c r="I23" s="1">
        <v>76000</v>
      </c>
    </row>
    <row r="24" spans="2:12" x14ac:dyDescent="0.3">
      <c r="G24" t="s">
        <v>23</v>
      </c>
      <c r="H24" s="1">
        <v>175000</v>
      </c>
      <c r="I24" s="1">
        <v>175000</v>
      </c>
    </row>
    <row r="25" spans="2:12" x14ac:dyDescent="0.3">
      <c r="H25" s="3">
        <f>SUM(H23:H24)</f>
        <v>341174.69</v>
      </c>
      <c r="I25" s="1"/>
    </row>
    <row r="26" spans="2:12" x14ac:dyDescent="0.3">
      <c r="I26" s="1"/>
    </row>
    <row r="27" spans="2:12" x14ac:dyDescent="0.3">
      <c r="H27" s="12">
        <f>H25-H21</f>
        <v>-8970.1499999999651</v>
      </c>
      <c r="I27" s="1"/>
    </row>
    <row r="28" spans="2:12" x14ac:dyDescent="0.3">
      <c r="I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25 30 Mayo</vt:lpstr>
      <vt:lpstr>18 23 Mayo</vt:lpstr>
      <vt:lpstr>11 16 Mayo</vt:lpstr>
      <vt:lpstr>04 09 Mayo</vt:lpstr>
      <vt:lpstr>27 Abril 02 Mayo</vt:lpstr>
      <vt:lpstr>20 25 Abril</vt:lpstr>
      <vt:lpstr>13 18 Abril</vt:lpstr>
      <vt:lpstr>06 11 Abril</vt:lpstr>
      <vt:lpstr>30 Mar 04 Abril</vt:lpstr>
      <vt:lpstr>23 28 Mar</vt:lpstr>
      <vt:lpstr>16 21 Mar</vt:lpstr>
      <vt:lpstr>09-14 Mar</vt:lpstr>
      <vt:lpstr>02 07 Mar</vt:lpstr>
      <vt:lpstr>23 28 Feb</vt:lpstr>
      <vt:lpstr>16 21 Feb</vt:lpstr>
      <vt:lpstr>09 14 Feb</vt:lpstr>
      <vt:lpstr>01 07 Feb</vt:lpstr>
      <vt:lpstr>26 31 Ene</vt:lpstr>
      <vt:lpstr>19 24 Ene</vt:lpstr>
      <vt:lpstr>11 17 Ene</vt:lpstr>
      <vt:lpstr>05 10 Ene</vt:lpstr>
      <vt:lpstr>29 Dic 03 Ene</vt:lpstr>
      <vt:lpstr>21-27 Dic</vt:lpstr>
      <vt:lpstr>15-20 Dic</vt:lpstr>
      <vt:lpstr>08-13 Dic</vt:lpstr>
      <vt:lpstr>01-06 Dic</vt:lpstr>
      <vt:lpstr>24-29 NOV</vt:lpstr>
      <vt:lpstr>17-22 NOV</vt:lpstr>
      <vt:lpstr>10-15 NOV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Alvarado Ruiz</dc:creator>
  <cp:lastModifiedBy>ALVARADO GARNICA, LUIS CARLOS</cp:lastModifiedBy>
  <dcterms:created xsi:type="dcterms:W3CDTF">2025-06-03T16:19:09Z</dcterms:created>
  <dcterms:modified xsi:type="dcterms:W3CDTF">2026-06-08T03:41:00Z</dcterms:modified>
</cp:coreProperties>
</file>