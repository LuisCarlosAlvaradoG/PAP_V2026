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ll\OneDrive\Documentos\Clases ITESO\PAP\V2026\Data\"/>
    </mc:Choice>
  </mc:AlternateContent>
  <xr:revisionPtr revIDLastSave="0" documentId="13_ncr:1_{016927E3-671E-4308-A149-1C19513FB454}" xr6:coauthVersionLast="47" xr6:coauthVersionMax="47" xr10:uidLastSave="{00000000-0000-0000-0000-000000000000}"/>
  <bookViews>
    <workbookView xWindow="-108" yWindow="-108" windowWidth="23256" windowHeight="12456" xr2:uid="{F25077BA-AB5C-4BC1-ADAB-41FA6EFEAF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24" i="1" l="1"/>
</calcChain>
</file>

<file path=xl/sharedStrings.xml><?xml version="1.0" encoding="utf-8"?>
<sst xmlns="http://schemas.openxmlformats.org/spreadsheetml/2006/main" count="54" uniqueCount="33">
  <si>
    <t>RELACIÓN DE MAQUINARIA Y EQUIPO FV PROCESADOS</t>
  </si>
  <si>
    <t>pza</t>
  </si>
  <si>
    <t>Cnatidad</t>
  </si>
  <si>
    <t>Unidad</t>
  </si>
  <si>
    <t>P. Unitario</t>
  </si>
  <si>
    <t>Importe</t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</si>
  <si>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CUBICADORA URSHELL 3/8” (TAMBIEN REBANA ¼”, 3/8”, ½”. ¾”)</t>
    </r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</si>
  <si>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CUBICADORA PEQUEÑA 6 MM Y 19 MM (TAMBIEN REBANA ¼”, 3/8”, ½”. ¾”)</t>
    </r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</si>
  <si>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MOLINO, CRIBA DE 0.5 MM, 3 MM, 6 MM</t>
    </r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</si>
  <si>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MEZCLADORA 200 LTS</t>
    </r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</si>
  <si>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CERNIDOR DE AZUCAR</t>
    </r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</si>
  <si>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DETECTOR DE METALES</t>
    </r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</si>
  <si>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LAVADORA DE MANGO (BOLA O FRESCO)</t>
    </r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</si>
  <si>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JACUZZI PARA LAVADO</t>
    </r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</si>
  <si>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LAVADORA FINA</t>
    </r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</si>
  <si>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SELECCIONADOR</t>
    </r>
  </si>
  <si>
    <r>
      <t>·</t>
    </r>
    <r>
      <rPr>
        <sz val="7"/>
        <color theme="1"/>
        <rFont val="Calibri"/>
        <family val="2"/>
        <scheme val="minor"/>
      </rPr>
      <t xml:space="preserve">        </t>
    </r>
    <r>
      <rPr>
        <sz val="11"/>
        <color theme="1"/>
        <rFont val="Calibri"/>
        <family val="2"/>
        <scheme val="minor"/>
      </rPr>
      <t>BANDAS DE SELECCIÓN</t>
    </r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</si>
  <si>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MESAS DE DESPATE</t>
    </r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</si>
  <si>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MESAS DE QUEBADO Y REVISIÓN</t>
    </r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</si>
  <si>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MESA DE PESAJE</t>
    </r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</si>
  <si>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TINAS DE LAVADO</t>
    </r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</si>
  <si>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BASCULA 1 TON</t>
    </r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</si>
  <si>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BASCULAS 20 KG</t>
    </r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</si>
  <si>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SELLADORAS DE BOLSA</t>
    </r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</si>
  <si>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MAQUINA CRUMBLE</t>
    </r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</si>
  <si>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EMBOLSADORA SEMIAUTOMATICA</t>
    </r>
  </si>
  <si>
    <r>
      <t>·</t>
    </r>
    <r>
      <rPr>
        <sz val="7"/>
        <color theme="1"/>
        <rFont val="Calibri"/>
        <family val="2"/>
        <scheme val="minor"/>
      </rPr>
      <t xml:space="preserve">        </t>
    </r>
    <r>
      <rPr>
        <sz val="11"/>
        <color theme="1"/>
        <rFont val="Calibri"/>
        <family val="2"/>
        <scheme val="minor"/>
      </rPr>
      <t>PATIN HIDRAULICO</t>
    </r>
  </si>
  <si>
    <t>CAPITAL Y APORTACIONES</t>
  </si>
  <si>
    <t>Capital Inicial Socio 1</t>
  </si>
  <si>
    <t>Capital Inicial Socio 2</t>
  </si>
  <si>
    <t>Capital Inicial Socio 3</t>
  </si>
  <si>
    <t>Aportaciones Extra Socio 1</t>
  </si>
  <si>
    <t>Aportaciones Extra Socio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</si>
</sst>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horizontal="left" vertical="center" indent="2"/>
    </xf>
    <xf numFmtId="43" fontId="0" fillId="0" borderId="0" xfId="1" applyFont="1"/>
    <xf numFmtId="43" fontId="0" fillId="0" borderId="0" xfId="1" applyFont="1" applyAlignment="1">
      <alignment horizontal="center"/>
    </xf>
    <xf numFmtId="43" fontId="2" fillId="0" borderId="0" xfId="1" applyFont="1" applyAlignment="1">
      <alignment horizontal="center"/>
    </xf>
    <xf numFmtId="43" fontId="2" fillId="0" borderId="0" xfId="1" applyFont="1"/>
    <xf numFmtId="0" fontId="0" fillId="0" borderId="0" xfId="0" applyAlignment="1">
      <alignment horizontal="left" vertical="center" indent="5"/>
    </xf>
    <xf numFmtId="0" fontId="0" fillId="0" borderId="0" xfId="0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3F9-08EA-4644-AD24-4C96F9D904DC}">
  <dimension ref="A1:H32"/>
  <sheetViews>
    <sheetView tabSelected="1" workbookViewId="0">
      <selection activeCell="B33" sqref="B33"/>
    </sheetView>
  </sheetViews>
  <sheetFormatPr baseColWidth="10" defaultRowHeight="14.4" x14ac:dyDescent="0.3"/>
  <cols>
    <col min="1" max="1" width="75.109375" bestFit="1" customWidth="1"/>
    <col min="2" max="2" width="12.77734375" style="2" bestFit="1" customWidth="1"/>
    <col min="3" max="3" width="11.5546875" style="3"/>
    <col min="4" max="4" width="14.33203125" style="2" customWidth="1"/>
    <col min="5" max="5" width="14.21875" style="2" customWidth="1"/>
    <col min="6" max="8" width="11.5546875" style="2"/>
  </cols>
  <sheetData>
    <row r="1" spans="1:5" ht="18" x14ac:dyDescent="0.3">
      <c r="A1" s="1" t="s">
        <v>0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 x14ac:dyDescent="0.3">
      <c r="A2" s="6" t="s">
        <v>6</v>
      </c>
      <c r="B2" s="2">
        <v>1</v>
      </c>
      <c r="C2" s="3" t="s">
        <v>1</v>
      </c>
      <c r="D2" s="2">
        <v>1200000</v>
      </c>
      <c r="E2" s="2">
        <f>B2*D2</f>
        <v>1200000</v>
      </c>
    </row>
    <row r="3" spans="1:5" x14ac:dyDescent="0.3">
      <c r="A3" s="6" t="s">
        <v>7</v>
      </c>
      <c r="B3" s="2">
        <v>1</v>
      </c>
      <c r="C3" s="3" t="s">
        <v>1</v>
      </c>
      <c r="D3" s="2">
        <v>450000</v>
      </c>
      <c r="E3" s="2">
        <f t="shared" ref="E3:E22" si="0">B3*D3</f>
        <v>450000</v>
      </c>
    </row>
    <row r="4" spans="1:5" x14ac:dyDescent="0.3">
      <c r="A4" s="6" t="s">
        <v>8</v>
      </c>
      <c r="B4" s="2">
        <v>1</v>
      </c>
      <c r="C4" s="3" t="s">
        <v>1</v>
      </c>
      <c r="D4" s="2">
        <v>350000</v>
      </c>
      <c r="E4" s="2">
        <f t="shared" si="0"/>
        <v>350000</v>
      </c>
    </row>
    <row r="5" spans="1:5" x14ac:dyDescent="0.3">
      <c r="A5" s="6" t="s">
        <v>9</v>
      </c>
      <c r="B5" s="2">
        <v>1</v>
      </c>
      <c r="C5" s="3" t="s">
        <v>1</v>
      </c>
      <c r="D5" s="2">
        <v>250000</v>
      </c>
      <c r="E5" s="2">
        <f t="shared" si="0"/>
        <v>250000</v>
      </c>
    </row>
    <row r="6" spans="1:5" x14ac:dyDescent="0.3">
      <c r="A6" s="6" t="s">
        <v>10</v>
      </c>
      <c r="B6" s="2">
        <v>1</v>
      </c>
      <c r="C6" s="3" t="s">
        <v>1</v>
      </c>
      <c r="D6" s="2">
        <v>150000</v>
      </c>
      <c r="E6" s="2">
        <f t="shared" si="0"/>
        <v>150000</v>
      </c>
    </row>
    <row r="7" spans="1:5" x14ac:dyDescent="0.3">
      <c r="A7" s="6" t="s">
        <v>11</v>
      </c>
      <c r="B7" s="2">
        <v>1</v>
      </c>
      <c r="C7" s="3" t="s">
        <v>1</v>
      </c>
      <c r="D7" s="2">
        <v>380000</v>
      </c>
      <c r="E7" s="2">
        <f t="shared" si="0"/>
        <v>380000</v>
      </c>
    </row>
    <row r="8" spans="1:5" x14ac:dyDescent="0.3">
      <c r="A8" s="6" t="s">
        <v>12</v>
      </c>
      <c r="B8" s="2">
        <v>1</v>
      </c>
      <c r="C8" s="3" t="s">
        <v>1</v>
      </c>
      <c r="D8" s="2">
        <v>150000</v>
      </c>
      <c r="E8" s="2">
        <f t="shared" si="0"/>
        <v>150000</v>
      </c>
    </row>
    <row r="9" spans="1:5" x14ac:dyDescent="0.3">
      <c r="A9" s="6" t="s">
        <v>13</v>
      </c>
      <c r="B9" s="2">
        <v>1</v>
      </c>
      <c r="C9" s="3" t="s">
        <v>1</v>
      </c>
      <c r="D9" s="2">
        <v>200000</v>
      </c>
      <c r="E9" s="2">
        <f t="shared" si="0"/>
        <v>200000</v>
      </c>
    </row>
    <row r="10" spans="1:5" x14ac:dyDescent="0.3">
      <c r="A10" s="6" t="s">
        <v>14</v>
      </c>
      <c r="B10" s="2">
        <v>1</v>
      </c>
      <c r="C10" s="3" t="s">
        <v>1</v>
      </c>
      <c r="D10" s="2">
        <v>125000</v>
      </c>
      <c r="E10" s="2">
        <f t="shared" si="0"/>
        <v>125000</v>
      </c>
    </row>
    <row r="11" spans="1:5" x14ac:dyDescent="0.3">
      <c r="A11" s="6" t="s">
        <v>15</v>
      </c>
      <c r="B11" s="2">
        <v>1</v>
      </c>
      <c r="C11" s="3" t="s">
        <v>1</v>
      </c>
      <c r="D11" s="2">
        <v>300000</v>
      </c>
      <c r="E11" s="2">
        <f t="shared" si="0"/>
        <v>300000</v>
      </c>
    </row>
    <row r="12" spans="1:5" x14ac:dyDescent="0.3">
      <c r="A12" s="6" t="s">
        <v>16</v>
      </c>
      <c r="B12" s="2">
        <v>4</v>
      </c>
      <c r="C12" s="3" t="s">
        <v>1</v>
      </c>
      <c r="D12" s="2">
        <v>150000</v>
      </c>
      <c r="E12" s="2">
        <f t="shared" si="0"/>
        <v>600000</v>
      </c>
    </row>
    <row r="13" spans="1:5" x14ac:dyDescent="0.3">
      <c r="A13" s="6" t="s">
        <v>17</v>
      </c>
      <c r="B13" s="2">
        <v>3</v>
      </c>
      <c r="C13" s="3" t="s">
        <v>1</v>
      </c>
      <c r="D13" s="2">
        <v>125000</v>
      </c>
      <c r="E13" s="2">
        <f t="shared" si="0"/>
        <v>375000</v>
      </c>
    </row>
    <row r="14" spans="1:5" x14ac:dyDescent="0.3">
      <c r="A14" s="6" t="s">
        <v>18</v>
      </c>
      <c r="B14" s="2">
        <v>4</v>
      </c>
      <c r="C14" s="3" t="s">
        <v>1</v>
      </c>
      <c r="D14" s="2">
        <v>17000</v>
      </c>
      <c r="E14" s="2">
        <f t="shared" si="0"/>
        <v>68000</v>
      </c>
    </row>
    <row r="15" spans="1:5" x14ac:dyDescent="0.3">
      <c r="A15" s="6" t="s">
        <v>19</v>
      </c>
      <c r="B15" s="2">
        <v>1</v>
      </c>
      <c r="C15" s="3" t="s">
        <v>1</v>
      </c>
      <c r="D15" s="2">
        <v>25000</v>
      </c>
      <c r="E15" s="2">
        <f t="shared" si="0"/>
        <v>25000</v>
      </c>
    </row>
    <row r="16" spans="1:5" x14ac:dyDescent="0.3">
      <c r="A16" s="6" t="s">
        <v>20</v>
      </c>
      <c r="B16" s="2">
        <v>1</v>
      </c>
      <c r="C16" s="3" t="s">
        <v>1</v>
      </c>
      <c r="D16" s="2">
        <v>65000</v>
      </c>
      <c r="E16" s="2">
        <f t="shared" si="0"/>
        <v>65000</v>
      </c>
    </row>
    <row r="17" spans="1:5" x14ac:dyDescent="0.3">
      <c r="A17" s="6" t="s">
        <v>21</v>
      </c>
      <c r="B17" s="2">
        <v>1</v>
      </c>
      <c r="C17" s="3" t="s">
        <v>1</v>
      </c>
      <c r="D17" s="2">
        <v>15000</v>
      </c>
      <c r="E17" s="2">
        <f t="shared" si="0"/>
        <v>15000</v>
      </c>
    </row>
    <row r="18" spans="1:5" x14ac:dyDescent="0.3">
      <c r="A18" s="6" t="s">
        <v>22</v>
      </c>
      <c r="B18" s="2">
        <v>4</v>
      </c>
      <c r="C18" s="3" t="s">
        <v>1</v>
      </c>
      <c r="D18" s="2">
        <v>1500</v>
      </c>
      <c r="E18" s="2">
        <f t="shared" si="0"/>
        <v>6000</v>
      </c>
    </row>
    <row r="19" spans="1:5" x14ac:dyDescent="0.3">
      <c r="A19" s="6" t="s">
        <v>23</v>
      </c>
      <c r="B19" s="2">
        <v>4</v>
      </c>
      <c r="C19" s="3" t="s">
        <v>1</v>
      </c>
      <c r="D19" s="2">
        <v>800</v>
      </c>
      <c r="E19" s="2">
        <f t="shared" si="0"/>
        <v>3200</v>
      </c>
    </row>
    <row r="20" spans="1:5" x14ac:dyDescent="0.3">
      <c r="A20" s="6" t="s">
        <v>24</v>
      </c>
      <c r="B20" s="2">
        <v>1</v>
      </c>
      <c r="C20" s="3" t="s">
        <v>1</v>
      </c>
      <c r="D20" s="2">
        <v>150000</v>
      </c>
      <c r="E20" s="2">
        <f t="shared" si="0"/>
        <v>150000</v>
      </c>
    </row>
    <row r="21" spans="1:5" x14ac:dyDescent="0.3">
      <c r="A21" s="6" t="s">
        <v>25</v>
      </c>
      <c r="B21" s="2">
        <v>1</v>
      </c>
      <c r="C21" s="3" t="s">
        <v>1</v>
      </c>
      <c r="D21" s="2">
        <v>125000</v>
      </c>
      <c r="E21" s="2">
        <f t="shared" si="0"/>
        <v>125000</v>
      </c>
    </row>
    <row r="22" spans="1:5" x14ac:dyDescent="0.3">
      <c r="A22" s="6" t="s">
        <v>26</v>
      </c>
      <c r="B22" s="2">
        <v>3</v>
      </c>
      <c r="C22" s="3" t="s">
        <v>1</v>
      </c>
      <c r="D22" s="2">
        <v>7500</v>
      </c>
      <c r="E22" s="2">
        <f t="shared" si="0"/>
        <v>22500</v>
      </c>
    </row>
    <row r="23" spans="1:5" x14ac:dyDescent="0.3">
      <c r="A23" s="6"/>
    </row>
    <row r="24" spans="1:5" ht="13.8" customHeight="1" x14ac:dyDescent="0.3">
      <c r="A24" s="7"/>
      <c r="E24" s="5">
        <f>SUM(E2:E22)</f>
        <v>5009700</v>
      </c>
    </row>
    <row r="26" spans="1:5" ht="18" x14ac:dyDescent="0.3">
      <c r="A26" s="1" t="s">
        <v>27</v>
      </c>
    </row>
    <row r="27" spans="1:5" x14ac:dyDescent="0.3">
      <c r="B27" s="4" t="s">
        <v>5</v>
      </c>
    </row>
    <row r="28" spans="1:5" x14ac:dyDescent="0.3">
      <c r="A28" t="s">
        <v>28</v>
      </c>
      <c r="B28" s="2">
        <v>1500000</v>
      </c>
    </row>
    <row r="29" spans="1:5" x14ac:dyDescent="0.3">
      <c r="A29" t="s">
        <v>29</v>
      </c>
      <c r="B29" s="2">
        <v>1500000</v>
      </c>
    </row>
    <row r="30" spans="1:5" x14ac:dyDescent="0.3">
      <c r="A30" t="s">
        <v>30</v>
      </c>
      <c r="B30" s="2">
        <v>1500000</v>
      </c>
    </row>
    <row r="31" spans="1:5" x14ac:dyDescent="0.3">
      <c r="A31" t="s">
        <v>31</v>
      </c>
      <c r="B31" s="2">
        <v>1600000</v>
      </c>
    </row>
    <row r="32" spans="1:5" x14ac:dyDescent="0.3">
      <c r="A32" t="s">
        <v>32</v>
      </c>
      <c r="B32" s="2">
        <v>1600000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Alvarado Ruiz</dc:creator>
  <cp:lastModifiedBy>ALVARADO GARNICA, LUIS CARLOS</cp:lastModifiedBy>
  <dcterms:created xsi:type="dcterms:W3CDTF">2026-06-16T22:38:52Z</dcterms:created>
  <dcterms:modified xsi:type="dcterms:W3CDTF">2026-06-29T19:44:37Z</dcterms:modified>
</cp:coreProperties>
</file>