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5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1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Ingresos" sheetId="2" state="visible" r:id="rId4"/>
    <sheet name="Egresos" sheetId="3" state="visible" r:id="rId5"/>
    <sheet name="Balance" sheetId="4" state="visible" r:id="rId6"/>
    <sheet name="📊 Nómina-Personal" sheetId="5" state="visible" r:id="rId7"/>
    <sheet name="📊 Empaque-Material" sheetId="6" state="visible" r:id="rId8"/>
    <sheet name="📊 Otros" sheetId="7" state="visible" r:id="rId9"/>
    <sheet name="📊 Servicios" sheetId="8" state="visible" r:id="rId10"/>
    <sheet name="📊 Impuestos" sheetId="9" state="visible" r:id="rId11"/>
    <sheet name="📊 Producto-Fruta" sheetId="10" state="visible" r:id="rId12"/>
    <sheet name="📊 LAR-Otros" sheetId="11" state="visible" r:id="rId13"/>
    <sheet name="Nómina-Personal (Pago)" sheetId="12" state="visible" r:id="rId14"/>
    <sheet name="Empaque-Material (Pago)" sheetId="13" state="visible" r:id="rId15"/>
    <sheet name="Otros (Pago)" sheetId="14" state="visible" r:id="rId16"/>
    <sheet name="Servicios (Pago)" sheetId="15" state="visible" r:id="rId17"/>
    <sheet name="Impuestos (Pago)" sheetId="16" state="visible" r:id="rId18"/>
    <sheet name="Producto-Fruta (Pago)" sheetId="17" state="visible" r:id="rId19"/>
    <sheet name="LAR-Otros (Pago)" sheetId="18" state="visible" r:id="rId20"/>
    <sheet name="Nómina-Personal (Pendiente)" sheetId="19" state="visible" r:id="rId21"/>
    <sheet name="Empaque-Material (Pendiente)" sheetId="20" state="visible" r:id="rId22"/>
    <sheet name="Otros (Pendiente)" sheetId="21" state="visible" r:id="rId23"/>
    <sheet name="Servicios (Pendiente)" sheetId="22" state="visible" r:id="rId24"/>
    <sheet name="Impuestos (Pendiente)" sheetId="23" state="visible" r:id="rId25"/>
    <sheet name="Producto-Fruta (Pendiente)" sheetId="24" state="visible" r:id="rId26"/>
    <sheet name="LAR-Otros (Pendiente)" sheetId="25" state="visible" r:id="rId2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<sst xmlns="http://schemas.openxmlformats.org/spreadsheetml/2006/main" count="839" uniqueCount="198">
  <si>
    <t xml:space="preserve">Resumen General — FV (Nov 2025 a May 2026)</t>
  </si>
  <si>
    <t xml:space="preserve">Resumen financiero mensual</t>
  </si>
  <si>
    <t xml:space="preserve">Mes</t>
  </si>
  <si>
    <t xml:space="preserve">Ingresos</t>
  </si>
  <si>
    <t xml:space="preserve">Egresos</t>
  </si>
  <si>
    <t xml:space="preserve">Pagado</t>
  </si>
  <si>
    <t xml:space="preserve">Pendiente</t>
  </si>
  <si>
    <t xml:space="preserve">Balance (Ing-Pag-Eg)</t>
  </si>
  <si>
    <t xml:space="preserve">Nov</t>
  </si>
  <si>
    <t xml:space="preserve">Dic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</si>
  <si>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</si>
  <si>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</si>
  <si>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</si>
  <si>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</si>
  <si>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</si>
  <si>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TOTAL</t>
  </si>
  <si>
    <t xml:space="preserve">Nota: Ingresos y Egresos provienen de las secciones "RESUMEN" de cada hoja semanal (no de BD Gastos).</t>
  </si>
  <si>
    <t xml:space="preserve">Acumulado mensual por categoría — Pago</t>
  </si>
  <si>
    <t xml:space="preserve">Categoría</t>
  </si>
  <si>
    <t xml:space="preserve">Total</t>
  </si>
  <si>
    <t xml:space="preserve">Nómina/Personal</t>
  </si>
  <si>
    <t xml:space="preserve">Empaque/Material</t>
  </si>
  <si>
    <t xml:space="preserve">Otros</t>
  </si>
  <si>
    <t xml:space="preserve">Servicios</t>
  </si>
  <si>
    <t xml:space="preserve">Impuestos</t>
  </si>
  <si>
    <t xml:space="preserve">Producto/Fruta</t>
  </si>
  <si>
    <t xml:space="preserve">LAR/Otros</t>
  </si>
  <si>
    <t xml:space="preserve">TOTAL PAGADO</t>
  </si>
  <si>
    <t xml:space="preserve">Acumulado mensual por categoría — Pendiente</t>
  </si>
  <si>
    <t xml:space="preserve">TOTAL PENDIENTE</t>
  </si>
  <si>
    <t xml:space="preserve">Acumulado mensual — Ingresos</t>
  </si>
  <si>
    <t xml:space="preserve">TOTAL INGRESOS</t>
  </si>
  <si>
    <t xml:space="preserve">Acumulado mensual — Egresos</t>
  </si>
  <si>
    <t xml:space="preserve">TOTAL EGRESOS</t>
  </si>
  <si>
    <t xml:space="preserve">Acumulado mensual — Balance (Ing - Pag - Eg)</t>
  </si>
  <si>
    <t xml:space="preserve">Balance</t>
  </si>
  <si>
    <t xml:space="preserve">TOTAL BALANCE</t>
  </si>
  <si>
    <t xml:space="preserve">Detalle mensual por concepto — Nómina/Personal</t>
  </si>
  <si>
    <t xml:space="preserve">Concepto</t>
  </si>
  <si>
    <t xml:space="preserve">Pago</t>
  </si>
  <si>
    <t xml:space="preserve">NOMINA FV</t>
  </si>
  <si>
    <t xml:space="preserve">NOMINA CXM</t>
  </si>
  <si>
    <t xml:space="preserve">RAISA</t>
  </si>
  <si>
    <t xml:space="preserve">ARTURO GUERRERO</t>
  </si>
  <si>
    <t xml:space="preserve">OMAR GUERRERO</t>
  </si>
  <si>
    <t xml:space="preserve">ALEX Y RAFA</t>
  </si>
  <si>
    <t xml:space="preserve">Cristian Ramirez</t>
  </si>
  <si>
    <t xml:space="preserve">LALO AGUIRRE</t>
  </si>
  <si>
    <t xml:space="preserve">OMAR</t>
  </si>
  <si>
    <t xml:space="preserve">NOMINA JACONA</t>
  </si>
  <si>
    <t xml:space="preserve">MATERIAL RAISA</t>
  </si>
  <si>
    <t xml:space="preserve">JOSE "CARAS" EQUIPO REFRIGERACION</t>
  </si>
  <si>
    <t xml:space="preserve">SR IGNACIO</t>
  </si>
  <si>
    <t xml:space="preserve">NOMINA JACONA SABADO</t>
  </si>
  <si>
    <t xml:space="preserve">NOMINA JACONA MIERCOLES</t>
  </si>
  <si>
    <t xml:space="preserve">OMAR nomina</t>
  </si>
  <si>
    <t xml:space="preserve">LORE</t>
  </si>
  <si>
    <t xml:space="preserve">NOMINA JACONA Y OCUMICHO SABADO</t>
  </si>
  <si>
    <t xml:space="preserve">CIRAM</t>
  </si>
  <si>
    <t xml:space="preserve">EDUARDO AGUIRRE</t>
  </si>
  <si>
    <t xml:space="preserve">LORE (Transporte Personal)</t>
  </si>
  <si>
    <t xml:space="preserve">NOMINA JACONA Y OCUMICHO MIERCOLES</t>
  </si>
  <si>
    <t xml:space="preserve">ROBERTO REYES</t>
  </si>
  <si>
    <t xml:space="preserve">SINDULFO</t>
  </si>
  <si>
    <t xml:space="preserve">TRANSPORTE LORE</t>
  </si>
  <si>
    <t xml:space="preserve">TOTAL NÓMINA/PERSONAL</t>
  </si>
  <si>
    <t xml:space="preserve">Detalle mensual por concepto — Empaque/Material</t>
  </si>
  <si>
    <t xml:space="preserve">PATAGONIA CAJA CARTON y 30 lbs</t>
  </si>
  <si>
    <t xml:space="preserve">CAJA CARTON (PATAGONIA) 20 y 30 lbs</t>
  </si>
  <si>
    <t xml:space="preserve">CAJA RUTH GDL</t>
  </si>
  <si>
    <t xml:space="preserve">CAJA CARTON (PATAGONIA)</t>
  </si>
  <si>
    <t xml:space="preserve">CAJA RUTH GDLMK BOXES</t>
  </si>
  <si>
    <t xml:space="preserve">JOSE HDEZ GARCIA (PAGO TARIMA)</t>
  </si>
  <si>
    <t xml:space="preserve">BOLSA 30 LBS CHAVINDA</t>
  </si>
  <si>
    <t xml:space="preserve">Ing Aguilar , embolsadora</t>
  </si>
  <si>
    <t xml:space="preserve">CAJA PATAGONIA</t>
  </si>
  <si>
    <t xml:space="preserve">EMBAPACK</t>
  </si>
  <si>
    <t xml:space="preserve">EMBAPACK Bolsa Verde)</t>
  </si>
  <si>
    <t xml:space="preserve">Edgar Joel Vega Martínez (Emplaye)</t>
  </si>
  <si>
    <t xml:space="preserve">EMBAPACK Bolsa AZUL</t>
  </si>
  <si>
    <t xml:space="preserve">EMBAPACK Bolsa Verde</t>
  </si>
  <si>
    <t xml:space="preserve">CIELO (TARIMAS)</t>
  </si>
  <si>
    <t xml:space="preserve">Bolsa Transparente (Chavinda)</t>
  </si>
  <si>
    <t xml:space="preserve">EMBAPACK Bolsa AZUL)</t>
  </si>
  <si>
    <t xml:space="preserve">EMBAPACK Bolsa TRNASPARENTE</t>
  </si>
  <si>
    <t xml:space="preserve">CODICE ETIQUETAS</t>
  </si>
  <si>
    <t xml:space="preserve">CODICE</t>
  </si>
  <si>
    <t xml:space="preserve">ETIQUETAS CODICE</t>
  </si>
  <si>
    <t xml:space="preserve">ETIQUETAS</t>
  </si>
  <si>
    <t xml:space="preserve">EMBAPACK Bolsa AZUL y verde</t>
  </si>
  <si>
    <t xml:space="preserve">Aceros Gutz</t>
  </si>
  <si>
    <t xml:space="preserve">FLEJE MONTERREY</t>
  </si>
  <si>
    <t xml:space="preserve">Bolsa (Chavinda)</t>
  </si>
  <si>
    <t xml:space="preserve">CIELO ALEJANDRA (TARIMAS) GONZALO</t>
  </si>
  <si>
    <t xml:space="preserve">CAJA CARTON (RUTH)</t>
  </si>
  <si>
    <t xml:space="preserve">CAJA PATAGONI Y EMBAPACK</t>
  </si>
  <si>
    <t xml:space="preserve">TARIMA</t>
  </si>
  <si>
    <t xml:space="preserve">TOTAL EMPAQUE/MATERIAL</t>
  </si>
  <si>
    <t xml:space="preserve">Detalle mensual por concepto — Otros</t>
  </si>
  <si>
    <t xml:space="preserve">AVV (PAGO SANTANDER)</t>
  </si>
  <si>
    <t xml:space="preserve">AVV (PAGO MONARCA)</t>
  </si>
  <si>
    <t xml:space="preserve">AVV (PAGO SANTANDERT)</t>
  </si>
  <si>
    <t xml:space="preserve">Alejandro Rodriguez</t>
  </si>
  <si>
    <t xml:space="preserve">AVV  (MONARCA)</t>
  </si>
  <si>
    <t xml:space="preserve">TRAMITES CFE</t>
  </si>
  <si>
    <t xml:space="preserve">AVV MONARCA</t>
  </si>
  <si>
    <t xml:space="preserve">CONTRATO REIMER (Lic Carlos)</t>
  </si>
  <si>
    <t xml:space="preserve">FRENOS CAMIONETA JESUS</t>
  </si>
  <si>
    <t xml:space="preserve">VERIFICACION FLOSOL</t>
  </si>
  <si>
    <t xml:space="preserve">ROCIO IMPI</t>
  </si>
  <si>
    <t xml:space="preserve">COMPRA LAPTOP</t>
  </si>
  <si>
    <t xml:space="preserve">AVV</t>
  </si>
  <si>
    <t xml:space="preserve">PAGO CONTPAQ</t>
  </si>
  <si>
    <t xml:space="preserve">BATAS, DIESEL, HOMEDEPOT</t>
  </si>
  <si>
    <t xml:space="preserve">SAM JARABES TAPATIOS</t>
  </si>
  <si>
    <t xml:space="preserve">DIKEN</t>
  </si>
  <si>
    <t xml:space="preserve">Pintura FV ( cubeta Esmalte)</t>
  </si>
  <si>
    <t xml:space="preserve">PAGO BOTELLA PLASTICO 1 LTO</t>
  </si>
  <si>
    <t xml:space="preserve">MARACUYA BORREGOS</t>
  </si>
  <si>
    <t xml:space="preserve">MARACUYA</t>
  </si>
  <si>
    <t xml:space="preserve">STEREN NEBULIZADORES</t>
  </si>
  <si>
    <t xml:space="preserve">CHRISTIAN MANUEL (TAMINAS)</t>
  </si>
  <si>
    <t xml:space="preserve">Varios (Llaves reparacion FV)</t>
  </si>
  <si>
    <t xml:space="preserve">DELFIN</t>
  </si>
  <si>
    <t xml:space="preserve">EFECTIVO</t>
  </si>
  <si>
    <t xml:space="preserve">MK BOXES RUTH GDL</t>
  </si>
  <si>
    <t xml:space="preserve">PROLIZA</t>
  </si>
  <si>
    <t xml:space="preserve">SEGURO AVEO</t>
  </si>
  <si>
    <t xml:space="preserve">Transporte de Gente</t>
  </si>
  <si>
    <t xml:space="preserve">gastos</t>
  </si>
  <si>
    <t xml:space="preserve">TOTAL OTROS</t>
  </si>
  <si>
    <t xml:space="preserve">Detalle mensual por concepto — Servicios</t>
  </si>
  <si>
    <t xml:space="preserve">Honorarios contador</t>
  </si>
  <si>
    <t xml:space="preserve">DEPACHO GARNICA</t>
  </si>
  <si>
    <t xml:space="preserve">CIPSA</t>
  </si>
  <si>
    <t xml:space="preserve">GLADYS (CERTIFICACION)</t>
  </si>
  <si>
    <t xml:space="preserve">telefono</t>
  </si>
  <si>
    <t xml:space="preserve">Primus Lab</t>
  </si>
  <si>
    <t xml:space="preserve">Contador Carlos</t>
  </si>
  <si>
    <t xml:space="preserve">SANICHEM</t>
  </si>
  <si>
    <t xml:space="preserve">IMPRENTA BERNARDO</t>
  </si>
  <si>
    <t xml:space="preserve">TRES GUERRAS</t>
  </si>
  <si>
    <t xml:space="preserve">Contador Reymundo</t>
  </si>
  <si>
    <t xml:space="preserve">DEPACHO GARNICA (Pago Febrero 2026)</t>
  </si>
  <si>
    <t xml:space="preserve">Contador Raymundo</t>
  </si>
  <si>
    <t xml:space="preserve">CIPSA (Control de Plagas)</t>
  </si>
  <si>
    <t xml:space="preserve">SIMA (CALIBRACION)</t>
  </si>
  <si>
    <t xml:space="preserve">TOTAL SERVICIOS</t>
  </si>
  <si>
    <t xml:space="preserve">Detalle mensual por concepto — Impuestos</t>
  </si>
  <si>
    <t xml:space="preserve">IMSS CXM</t>
  </si>
  <si>
    <t xml:space="preserve">IMSS</t>
  </si>
  <si>
    <t xml:space="preserve">IMSS FV</t>
  </si>
  <si>
    <t xml:space="preserve">Tenencias</t>
  </si>
  <si>
    <t xml:space="preserve">IMPUESTOS LAR</t>
  </si>
  <si>
    <t xml:space="preserve">PAGO ACTA CONST FV PLUS</t>
  </si>
  <si>
    <t xml:space="preserve">IMPUESTOS LAR FEBRERO</t>
  </si>
  <si>
    <t xml:space="preserve">IMSS (DEPOSITO A CUENTA AVV)</t>
  </si>
  <si>
    <t xml:space="preserve">CONVENIO IMSS CXM</t>
  </si>
  <si>
    <t xml:space="preserve">IMPUESTOS OCTUBRE LAR</t>
  </si>
  <si>
    <t xml:space="preserve">TOTAL IMPUESTOS</t>
  </si>
  <si>
    <t xml:space="preserve">Detalle mensual por concepto — Producto/Fruta</t>
  </si>
  <si>
    <t xml:space="preserve">GUAYABAS LA ESPERANZA</t>
  </si>
  <si>
    <t xml:space="preserve">PLATANO</t>
  </si>
  <si>
    <t xml:space="preserve">PONCHO MADRIGAL (Fresa)</t>
  </si>
  <si>
    <t xml:space="preserve">TOTAL PRODUCTO/FRUTA</t>
  </si>
  <si>
    <t xml:space="preserve">Detalle mensual por concepto — LAR/Otros</t>
  </si>
  <si>
    <t xml:space="preserve">LAR seguro aveo</t>
  </si>
  <si>
    <t xml:space="preserve">ADEUDO GALU</t>
  </si>
  <si>
    <t xml:space="preserve">GALU</t>
  </si>
  <si>
    <t xml:space="preserve">TOTAL LAR/OTROS</t>
  </si>
  <si>
    <t xml:space="preserve">Acumulado mensual de Pago — Nómina/Personal</t>
  </si>
  <si>
    <t xml:space="preserve">TOTAL PAGO NÓMINA/PERSONAL</t>
  </si>
  <si>
    <t xml:space="preserve">Acumulado mensual de Pago — Empaque/Material</t>
  </si>
  <si>
    <t xml:space="preserve">TOTAL PAGO EMPAQUE/MATERIAL</t>
  </si>
  <si>
    <t xml:space="preserve">Acumulado mensual de Pago — Otros</t>
  </si>
  <si>
    <t xml:space="preserve">TOTAL PAGO OTROS</t>
  </si>
  <si>
    <t xml:space="preserve">Acumulado mensual de Pago — Servicios</t>
  </si>
  <si>
    <t xml:space="preserve">TOTAL PAGO SERVICIOS</t>
  </si>
  <si>
    <t xml:space="preserve">Acumulado mensual de Pago — Impuestos</t>
  </si>
  <si>
    <t xml:space="preserve">TOTAL PAGO IMPUESTOS</t>
  </si>
  <si>
    <t xml:space="preserve">Acumulado mensual de Pago — Producto/Fruta</t>
  </si>
  <si>
    <t xml:space="preserve">TOTAL PAGO PRODUCTO/FRUTA</t>
  </si>
  <si>
    <t xml:space="preserve">Acumulado mensual de Pago — LAR/Otros</t>
  </si>
  <si>
    <t xml:space="preserve">TOTAL PAGO LAR/OTROS</t>
  </si>
  <si>
    <t xml:space="preserve">Acumulado mensual de Pendiente — Nómina/Personal</t>
  </si>
  <si>
    <t xml:space="preserve">TOTAL PENDIENTE NÓMINA/PERSONAL</t>
  </si>
  <si>
    <t xml:space="preserve">Acumulado mensual de Pendiente — Empaque/Material</t>
  </si>
  <si>
    <t xml:space="preserve">TOTAL PENDIENTE EMPAQUE/MATERIAL</t>
  </si>
  <si>
    <t xml:space="preserve">Acumulado mensual de Pendiente — Otros</t>
  </si>
  <si>
    <t xml:space="preserve">TOTAL PENDIENTE OTROS</t>
  </si>
  <si>
    <t xml:space="preserve">Acumulado mensual de Pendiente — Servicios</t>
  </si>
  <si>
    <t xml:space="preserve">TOTAL PENDIENTE SERVICIOS</t>
  </si>
  <si>
    <t xml:space="preserve">Acumulado mensual de Pendiente — Impuestos</t>
  </si>
  <si>
    <t xml:space="preserve">TOTAL PENDIENTE IMPUESTOS</t>
  </si>
  <si>
    <t xml:space="preserve">Acumulado mensual de Pendiente — Producto/Fruta</t>
  </si>
  <si>
    <t xml:space="preserve">TOTAL PENDIENTE PRODUCTO/FRUTA</t>
  </si>
  <si>
    <t xml:space="preserve">Acumulado mensual de Pendiente — LAR/Otros</t>
  </si>
  <si>
    <t xml:space="preserve">TOTAL PENDIENTE LAR/OTROS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</si>
</sst>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\$#,##0;&quot;($&quot;#,##0&quot;);-&quot;"/>
    <numFmt numFmtId="167" formatCode="\$#,##0;&quot;($&quot;#,##0&quot;);-&quot;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CE6F1"/>
      </patternFill>
    </fill>
    <fill>
      <patternFill patternType="solid">
        <fgColor rgb="FF2E75B6"/>
        <bgColor rgb="FF0066CC"/>
      </patternFill>
    </fill>
    <fill>
      <patternFill patternType="solid">
        <fgColor rgb="FFEFF7ED"/>
        <bgColor rgb="FFE2EFDA"/>
      </patternFill>
    </fill>
    <fill>
      <patternFill patternType="solid">
        <fgColor rgb="FFDCE6F1"/>
        <bgColor rgb="FFD9E1F2"/>
      </patternFill>
    </fill>
    <fill>
      <patternFill patternType="solid">
        <fgColor rgb="FFFFF2CC"/>
        <bgColor rgb="FFEFF7ED"/>
      </patternFill>
    </fill>
    <fill>
      <patternFill patternType="solid">
        <fgColor rgb="FFE2EFDA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3" fillId="6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3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4" fillId="8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FF7ED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7" min="2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 t="n">
        <v>736500.8</v>
      </c>
      <c r="C5" s="6" t="n">
        <v>12950</v>
      </c>
      <c r="D5" s="6" t="n">
        <v>743476</v>
      </c>
      <c r="E5" s="6" t="n">
        <v>329762</v>
      </c>
      <c r="F5" s="6" t="n">
        <f aca="false">B5-D5-C5</f>
        <v>-19925.2</v>
      </c>
    </row>
    <row r="6" customFormat="false" ht="15" hidden="false" customHeight="true" outlineLevel="0" collapsed="false">
      <c r="A6" s="5" t="s">
        <v>9</v>
      </c>
      <c r="B6" s="6" t="n">
        <v>1758496.8</v>
      </c>
      <c r="C6" s="6" t="n">
        <v>42850</v>
      </c>
      <c r="D6" s="6" t="n">
        <v>1811975.02</v>
      </c>
      <c r="E6" s="6" t="n">
        <v>742446.26</v>
      </c>
      <c r="F6" s="6" t="n">
        <f aca="false">B6-D6-C6</f>
        <v>-96328.22</v>
      </c>
    </row>
    <row r="7" customFormat="false" ht="15" hidden="false" customHeight="true" outlineLevel="0" collapsed="false">
      <c r="A7" s="5" t="s">
        <v>10</v>
      </c>
      <c r="B7" s="6" t="n">
        <v>1008213.08</v>
      </c>
      <c r="C7" s="6" t="n">
        <v>0</v>
      </c>
      <c r="D7" s="6" t="n">
        <v>605682.21</v>
      </c>
      <c r="E7" s="6" t="n">
        <v>783233.22</v>
      </c>
      <c r="F7" s="6" t="n">
        <f aca="false">B7-D7-C7</f>
        <v>402530.87</v>
      </c>
    </row>
    <row r="8" customFormat="false" ht="15" hidden="false" customHeight="true" outlineLevel="0" collapsed="false">
      <c r="A8" s="5" t="s">
        <v>11</v>
      </c>
      <c r="B8" s="6" t="n">
        <v>1214504</v>
      </c>
      <c r="C8" s="6" t="n">
        <v>0</v>
      </c>
      <c r="D8" s="6" t="n">
        <v>844914.57</v>
      </c>
      <c r="E8" s="6" t="n">
        <v>927193.04</v>
      </c>
      <c r="F8" s="6" t="n">
        <f aca="false">B8-D8-C8</f>
        <v>369589.43</v>
      </c>
    </row>
    <row r="9" customFormat="false" ht="15" hidden="false" customHeight="true" outlineLevel="0" collapsed="false">
      <c r="A9" s="5" t="s">
        <v>12</v>
      </c>
      <c r="B9" s="6" t="n">
        <v>1322706</v>
      </c>
      <c r="C9" s="6" t="n">
        <v>75850</v>
      </c>
      <c r="D9" s="6" t="n">
        <v>809867.034</v>
      </c>
      <c r="E9" s="6" t="n">
        <v>900505.74</v>
      </c>
      <c r="F9" s="6" t="n">
        <f aca="false">B9-D9-C9</f>
        <v>436988.966</v>
      </c>
    </row>
    <row r="10" customFormat="false" ht="15" hidden="false" customHeight="true" outlineLevel="0" collapsed="false">
      <c r="A10" s="5" t="s">
        <v>13</v>
      </c>
      <c r="B10" s="6" t="n">
        <v>1382415.28</v>
      </c>
      <c r="C10" s="6" t="n">
        <v>92750</v>
      </c>
      <c r="D10" s="6" t="n">
        <v>1198456.68</v>
      </c>
      <c r="E10" s="6" t="n">
        <v>543865.2</v>
      </c>
      <c r="F10" s="6" t="n">
        <f aca="false">B10-D10-C10</f>
        <v>91208.6000000001</v>
      </c>
    </row>
    <row r="11" customFormat="false" ht="15" hidden="false" customHeight="true" outlineLevel="0" collapsed="false">
      <c r="A11" s="5" t="s">
        <v>14</v>
      </c>
      <c r="B11" s="6" t="n">
        <v>1064879.8</v>
      </c>
      <c r="C11" s="6" t="n">
        <v>82050</v>
      </c>
      <c r="D11" s="6" t="n">
        <v>1037132.084</v>
      </c>
      <c r="E11" s="6" t="n">
        <v>1019588.42</v>
      </c>
      <c r="F11" s="6" t="n">
        <f aca="false">B11-D11-C11</f>
        <v>-54302.284</v>
      </c>
    </row>
    <row r="12" customFormat="false" ht="15" hidden="false" customHeight="true" outlineLevel="0" collapsed="false">
      <c r="A12" s="7" t="s">
        <v>15</v>
      </c>
      <c r="B12" s="8" t="n">
        <f aca="false">SUM(B5:B11)</f>
        <v>8487715.76</v>
      </c>
      <c r="C12" s="8" t="n">
        <f aca="false">SUM(C5:C11)</f>
        <v>306450</v>
      </c>
      <c r="D12" s="8" t="n">
        <f aca="false">SUM(D5:D11)</f>
        <v>7051503.598</v>
      </c>
      <c r="E12" s="8" t="n">
        <f aca="false">SUM(E5:E11)</f>
        <v>5246593.88</v>
      </c>
      <c r="F12" s="8" t="n">
        <f aca="false">SUM(F5:F11)</f>
        <v>1129762.162</v>
      </c>
    </row>
    <row r="14" customFormat="false" ht="15" hidden="false" customHeight="true" outlineLevel="0" collapsed="false">
      <c r="A14" s="9" t="s">
        <v>16</v>
      </c>
      <c r="B14" s="9"/>
      <c r="C14" s="9"/>
      <c r="D14" s="9"/>
      <c r="E14" s="9"/>
      <c r="F14" s="9"/>
    </row>
    <row r="16" customFormat="false" ht="15" hidden="false" customHeight="true" outlineLevel="0" collapsed="false">
      <c r="A16" s="3" t="s">
        <v>17</v>
      </c>
    </row>
    <row r="17" customFormat="false" ht="15" hidden="false" customHeight="true" outlineLevel="0" collapsed="false">
      <c r="A17" s="4" t="s">
        <v>18</v>
      </c>
      <c r="B17" s="4" t="s">
        <v>8</v>
      </c>
      <c r="C17" s="4" t="s">
        <v>9</v>
      </c>
      <c r="D17" s="4" t="s">
        <v>10</v>
      </c>
      <c r="E17" s="4" t="s">
        <v>11</v>
      </c>
      <c r="F17" s="4" t="s">
        <v>12</v>
      </c>
      <c r="G17" s="4" t="s">
        <v>13</v>
      </c>
      <c r="H17" s="4" t="s">
        <v>14</v>
      </c>
      <c r="I17" s="4" t="s">
        <v>19</v>
      </c>
    </row>
    <row r="18" customFormat="false" ht="15" hidden="false" customHeight="true" outlineLevel="0" collapsed="false">
      <c r="A18" s="5" t="s">
        <v>20</v>
      </c>
      <c r="B18" s="6" t="n">
        <f aca="false">'Nómina-Personal (Pago)'!B29</f>
        <v>650006</v>
      </c>
      <c r="C18" s="6" t="n">
        <f aca="false">'Nómina-Personal (Pago)'!C29</f>
        <v>972504.75</v>
      </c>
      <c r="D18" s="6" t="n">
        <f aca="false">'Nómina-Personal (Pago)'!D29</f>
        <v>519300</v>
      </c>
      <c r="E18" s="6" t="n">
        <f aca="false">'Nómina-Personal (Pago)'!E29</f>
        <v>667778.29</v>
      </c>
      <c r="F18" s="6" t="n">
        <f aca="false">'Nómina-Personal (Pago)'!F29</f>
        <v>614677.14</v>
      </c>
      <c r="G18" s="6" t="n">
        <f aca="false">'Nómina-Personal (Pago)'!G29</f>
        <v>811856.43</v>
      </c>
      <c r="H18" s="6" t="n">
        <f aca="false">'Nómina-Personal (Pago)'!H29</f>
        <v>673111.09</v>
      </c>
      <c r="I18" s="6" t="n">
        <f aca="false">SUM(B18:H18)</f>
        <v>4909233.7</v>
      </c>
    </row>
    <row r="19" customFormat="false" ht="15" hidden="false" customHeight="true" outlineLevel="0" collapsed="false">
      <c r="A19" s="5" t="s">
        <v>21</v>
      </c>
      <c r="B19" s="6" t="n">
        <f aca="false">'Empaque-Material (Pago)'!B34</f>
        <v>15000</v>
      </c>
      <c r="C19" s="6" t="n">
        <f aca="false">'Empaque-Material (Pago)'!C34</f>
        <v>95580.39</v>
      </c>
      <c r="D19" s="6" t="n">
        <f aca="false">'Empaque-Material (Pago)'!D34</f>
        <v>34481.54</v>
      </c>
      <c r="E19" s="6" t="n">
        <f aca="false">'Empaque-Material (Pago)'!E34</f>
        <v>124017.68</v>
      </c>
      <c r="F19" s="6" t="n">
        <f aca="false">'Empaque-Material (Pago)'!F34</f>
        <v>29668.1</v>
      </c>
      <c r="G19" s="6" t="n">
        <f aca="false">'Empaque-Material (Pago)'!G34</f>
        <v>227823.73</v>
      </c>
      <c r="H19" s="6" t="n">
        <f aca="false">'Empaque-Material (Pago)'!H34</f>
        <v>215479.03</v>
      </c>
      <c r="I19" s="6" t="n">
        <f aca="false">SUM(B19:H19)</f>
        <v>742050.47</v>
      </c>
    </row>
    <row r="20" customFormat="false" ht="15" hidden="false" customHeight="true" outlineLevel="0" collapsed="false">
      <c r="A20" s="5" t="s">
        <v>22</v>
      </c>
      <c r="B20" s="6" t="n">
        <f aca="false">'Otros (Pago)'!B35</f>
        <v>0</v>
      </c>
      <c r="C20" s="6" t="n">
        <f aca="false">'Otros (Pago)'!C35</f>
        <v>638935.4</v>
      </c>
      <c r="D20" s="6" t="n">
        <f aca="false">'Otros (Pago)'!D35</f>
        <v>2041.71</v>
      </c>
      <c r="E20" s="6" t="n">
        <f aca="false">'Otros (Pago)'!E35</f>
        <v>36900</v>
      </c>
      <c r="F20" s="6" t="n">
        <f aca="false">'Otros (Pago)'!F35</f>
        <v>132560.41</v>
      </c>
      <c r="G20" s="6" t="n">
        <f aca="false">'Otros (Pago)'!G35</f>
        <v>9159.56</v>
      </c>
      <c r="H20" s="6" t="n">
        <f aca="false">'Otros (Pago)'!H35</f>
        <v>18269</v>
      </c>
      <c r="I20" s="6" t="n">
        <f aca="false">SUM(B20:H20)</f>
        <v>837866.08</v>
      </c>
    </row>
    <row r="21" customFormat="false" ht="15" hidden="false" customHeight="true" outlineLevel="0" collapsed="false">
      <c r="A21" s="5" t="s">
        <v>23</v>
      </c>
      <c r="B21" s="6" t="n">
        <f aca="false">'Servicios (Pago)'!B19</f>
        <v>24000</v>
      </c>
      <c r="C21" s="6" t="n">
        <f aca="false">'Servicios (Pago)'!C19</f>
        <v>44954.48</v>
      </c>
      <c r="D21" s="6" t="n">
        <f aca="false">'Servicios (Pago)'!D19</f>
        <v>19858.96</v>
      </c>
      <c r="E21" s="6" t="n">
        <f aca="false">'Servicios (Pago)'!E19</f>
        <v>16218.6</v>
      </c>
      <c r="F21" s="6" t="n">
        <f aca="false">'Servicios (Pago)'!F19</f>
        <v>32961.384</v>
      </c>
      <c r="G21" s="6" t="n">
        <f aca="false">'Servicios (Pago)'!G19</f>
        <v>66919.83</v>
      </c>
      <c r="H21" s="6" t="n">
        <f aca="false">'Servicios (Pago)'!H19</f>
        <v>62176.164</v>
      </c>
      <c r="I21" s="6" t="n">
        <f aca="false">SUM(B21:H21)</f>
        <v>267089.418</v>
      </c>
    </row>
    <row r="22" customFormat="false" ht="15" hidden="false" customHeight="true" outlineLevel="0" collapsed="false">
      <c r="A22" s="5" t="s">
        <v>24</v>
      </c>
      <c r="B22" s="6" t="n">
        <f aca="false">'Impuestos (Pago)'!B14</f>
        <v>17470</v>
      </c>
      <c r="C22" s="6" t="n">
        <f aca="false">'Impuestos (Pago)'!C14</f>
        <v>10000</v>
      </c>
      <c r="D22" s="6" t="n">
        <f aca="false">'Impuestos (Pago)'!D14</f>
        <v>30000</v>
      </c>
      <c r="E22" s="6" t="n">
        <f aca="false">'Impuestos (Pago)'!E14</f>
        <v>0</v>
      </c>
      <c r="F22" s="6" t="n">
        <f aca="false">'Impuestos (Pago)'!F14</f>
        <v>0</v>
      </c>
      <c r="G22" s="6" t="n">
        <f aca="false">'Impuestos (Pago)'!G14</f>
        <v>63929.13</v>
      </c>
      <c r="H22" s="6" t="n">
        <f aca="false">'Impuestos (Pago)'!H14</f>
        <v>65367.8</v>
      </c>
      <c r="I22" s="6" t="n">
        <f aca="false">SUM(B22:H22)</f>
        <v>186766.93</v>
      </c>
    </row>
    <row r="23" customFormat="false" ht="15" hidden="false" customHeight="true" outlineLevel="0" collapsed="false">
      <c r="A23" s="5" t="s">
        <v>25</v>
      </c>
      <c r="B23" s="6" t="n">
        <f aca="false">'Producto-Fruta (Pago)'!B7</f>
        <v>37000</v>
      </c>
      <c r="C23" s="6" t="n">
        <f aca="false">'Producto-Fruta (Pago)'!C7</f>
        <v>50000</v>
      </c>
      <c r="D23" s="6" t="n">
        <f aca="false">'Producto-Fruta (Pago)'!D7</f>
        <v>0</v>
      </c>
      <c r="E23" s="6" t="n">
        <f aca="false">'Producto-Fruta (Pago)'!E7</f>
        <v>0</v>
      </c>
      <c r="F23" s="6" t="n">
        <f aca="false">'Producto-Fruta (Pago)'!F7</f>
        <v>0</v>
      </c>
      <c r="G23" s="6" t="n">
        <f aca="false">'Producto-Fruta (Pago)'!G7</f>
        <v>18768</v>
      </c>
      <c r="H23" s="6" t="n">
        <f aca="false">'Producto-Fruta (Pago)'!H7</f>
        <v>0</v>
      </c>
      <c r="I23" s="6" t="n">
        <f aca="false">SUM(B23:H23)</f>
        <v>105768</v>
      </c>
    </row>
    <row r="24" customFormat="false" ht="15" hidden="false" customHeight="true" outlineLevel="0" collapsed="false">
      <c r="A24" s="5" t="s">
        <v>26</v>
      </c>
      <c r="B24" s="6" t="n">
        <f aca="false">'LAR-Otros (Pago)'!B7</f>
        <v>0</v>
      </c>
      <c r="C24" s="6" t="n">
        <f aca="false">'LAR-Otros (Pago)'!C7</f>
        <v>0</v>
      </c>
      <c r="D24" s="6" t="n">
        <f aca="false">'LAR-Otros (Pago)'!D7</f>
        <v>0</v>
      </c>
      <c r="E24" s="6" t="n">
        <f aca="false">'LAR-Otros (Pago)'!E7</f>
        <v>0</v>
      </c>
      <c r="F24" s="6" t="n">
        <f aca="false">'LAR-Otros (Pago)'!F7</f>
        <v>0</v>
      </c>
      <c r="G24" s="6" t="n">
        <f aca="false">'LAR-Otros (Pago)'!G7</f>
        <v>0</v>
      </c>
      <c r="H24" s="6" t="n">
        <f aca="false">'LAR-Otros (Pago)'!H7</f>
        <v>2729</v>
      </c>
      <c r="I24" s="6" t="n">
        <f aca="false">SUM(B24:H24)</f>
        <v>2729</v>
      </c>
    </row>
    <row r="25" customFormat="false" ht="15" hidden="false" customHeight="true" outlineLevel="0" collapsed="false">
      <c r="A25" s="7" t="s">
        <v>27</v>
      </c>
      <c r="B25" s="8" t="n">
        <f aca="false">SUM(B18:B24)</f>
        <v>743476</v>
      </c>
      <c r="C25" s="8" t="n">
        <f aca="false">SUM(C18:C24)</f>
        <v>1811975.02</v>
      </c>
      <c r="D25" s="8" t="n">
        <f aca="false">SUM(D18:D24)</f>
        <v>605682.21</v>
      </c>
      <c r="E25" s="8" t="n">
        <f aca="false">SUM(E18:E24)</f>
        <v>844914.57</v>
      </c>
      <c r="F25" s="8" t="n">
        <f aca="false">SUM(F18:F24)</f>
        <v>809867.034</v>
      </c>
      <c r="G25" s="8" t="n">
        <f aca="false">SUM(G18:G24)</f>
        <v>1198456.68</v>
      </c>
      <c r="H25" s="8" t="n">
        <f aca="false">SUM(H18:H24)</f>
        <v>1037132.084</v>
      </c>
      <c r="I25" s="8" t="n">
        <f aca="false">SUM(I18:I24)</f>
        <v>7051503.598</v>
      </c>
    </row>
    <row r="27" customFormat="false" ht="15" hidden="false" customHeight="true" outlineLevel="0" collapsed="false">
      <c r="A27" s="3" t="s">
        <v>28</v>
      </c>
    </row>
    <row r="28" customFormat="false" ht="15" hidden="false" customHeight="true" outlineLevel="0" collapsed="false">
      <c r="A28" s="4" t="s">
        <v>18</v>
      </c>
      <c r="B28" s="4" t="s">
        <v>8</v>
      </c>
      <c r="C28" s="4" t="s">
        <v>9</v>
      </c>
      <c r="D28" s="4" t="s">
        <v>10</v>
      </c>
      <c r="E28" s="4" t="s">
        <v>11</v>
      </c>
      <c r="F28" s="4" t="s">
        <v>12</v>
      </c>
      <c r="G28" s="4" t="s">
        <v>13</v>
      </c>
      <c r="H28" s="4" t="s">
        <v>14</v>
      </c>
      <c r="I28" s="4" t="s">
        <v>19</v>
      </c>
    </row>
    <row r="29" customFormat="false" ht="15" hidden="false" customHeight="true" outlineLevel="0" collapsed="false">
      <c r="A29" s="5" t="s">
        <v>20</v>
      </c>
      <c r="B29" s="6" t="n">
        <f aca="false">'Nómina-Personal (Pendiente)'!B29</f>
        <v>238542</v>
      </c>
      <c r="C29" s="6" t="n">
        <f aca="false">'Nómina-Personal (Pendiente)'!C29</f>
        <v>518583.7</v>
      </c>
      <c r="D29" s="6" t="n">
        <f aca="false">'Nómina-Personal (Pendiente)'!D29</f>
        <v>427925.48</v>
      </c>
      <c r="E29" s="6" t="n">
        <f aca="false">'Nómina-Personal (Pendiente)'!E29</f>
        <v>463426.2</v>
      </c>
      <c r="F29" s="6" t="n">
        <f aca="false">'Nómina-Personal (Pendiente)'!F29</f>
        <v>366750</v>
      </c>
      <c r="G29" s="6" t="n">
        <f aca="false">'Nómina-Personal (Pendiente)'!G29</f>
        <v>104560.02</v>
      </c>
      <c r="H29" s="6" t="n">
        <f aca="false">'Nómina-Personal (Pendiente)'!H29</f>
        <v>145297.8</v>
      </c>
      <c r="I29" s="6" t="n">
        <f aca="false">SUM(B29:H29)</f>
        <v>2265085.2</v>
      </c>
    </row>
    <row r="30" customFormat="false" ht="15" hidden="false" customHeight="true" outlineLevel="0" collapsed="false">
      <c r="A30" s="5" t="s">
        <v>21</v>
      </c>
      <c r="B30" s="6" t="n">
        <f aca="false">'Empaque-Material (Pendiente)'!B34</f>
        <v>48720</v>
      </c>
      <c r="C30" s="6" t="n">
        <f aca="false">'Empaque-Material (Pendiente)'!C34</f>
        <v>54050</v>
      </c>
      <c r="D30" s="6" t="n">
        <f aca="false">'Empaque-Material (Pendiente)'!D34</f>
        <v>145369.6</v>
      </c>
      <c r="E30" s="6" t="n">
        <f aca="false">'Empaque-Material (Pendiente)'!E34</f>
        <v>179238</v>
      </c>
      <c r="F30" s="6" t="n">
        <f aca="false">'Empaque-Material (Pendiente)'!F34</f>
        <v>335815.74</v>
      </c>
      <c r="G30" s="6" t="n">
        <f aca="false">'Empaque-Material (Pendiente)'!G34</f>
        <v>281300.22</v>
      </c>
      <c r="H30" s="6" t="n">
        <f aca="false">'Empaque-Material (Pendiente)'!H34</f>
        <v>238352.37</v>
      </c>
      <c r="I30" s="6" t="n">
        <f aca="false">SUM(B30:H30)</f>
        <v>1282845.93</v>
      </c>
    </row>
    <row r="31" customFormat="false" ht="15" hidden="false" customHeight="true" outlineLevel="0" collapsed="false">
      <c r="A31" s="5" t="s">
        <v>22</v>
      </c>
      <c r="B31" s="6" t="n">
        <f aca="false">'Otros (Pendiente)'!B35</f>
        <v>20000</v>
      </c>
      <c r="C31" s="6" t="n">
        <f aca="false">'Otros (Pendiente)'!C35</f>
        <v>97000</v>
      </c>
      <c r="D31" s="6" t="n">
        <f aca="false">'Otros (Pendiente)'!D35</f>
        <v>10839.94</v>
      </c>
      <c r="E31" s="6" t="n">
        <f aca="false">'Otros (Pendiente)'!E35</f>
        <v>23528.84</v>
      </c>
      <c r="F31" s="6" t="n">
        <f aca="false">'Otros (Pendiente)'!F35</f>
        <v>70000</v>
      </c>
      <c r="G31" s="6" t="n">
        <f aca="false">'Otros (Pendiente)'!G35</f>
        <v>51186.36</v>
      </c>
      <c r="H31" s="6" t="n">
        <f aca="false">'Otros (Pendiente)'!H35</f>
        <v>259315.55</v>
      </c>
      <c r="I31" s="6" t="n">
        <f aca="false">SUM(B31:H31)</f>
        <v>531870.69</v>
      </c>
    </row>
    <row r="32" customFormat="false" ht="15" hidden="false" customHeight="true" outlineLevel="0" collapsed="false">
      <c r="A32" s="5" t="s">
        <v>23</v>
      </c>
      <c r="B32" s="6" t="n">
        <f aca="false">'Servicios (Pendiente)'!B19</f>
        <v>22500</v>
      </c>
      <c r="C32" s="6" t="n">
        <f aca="false">'Servicios (Pendiente)'!C19</f>
        <v>72812.56</v>
      </c>
      <c r="D32" s="6" t="n">
        <f aca="false">'Servicios (Pendiente)'!D19</f>
        <v>30198.2</v>
      </c>
      <c r="E32" s="6" t="n">
        <f aca="false">'Servicios (Pendiente)'!E19</f>
        <v>0</v>
      </c>
      <c r="F32" s="6" t="n">
        <f aca="false">'Servicios (Pendiente)'!F19</f>
        <v>2940</v>
      </c>
      <c r="G32" s="6" t="n">
        <f aca="false">'Servicios (Pendiente)'!G19</f>
        <v>49818.6</v>
      </c>
      <c r="H32" s="6" t="n">
        <f aca="false">'Servicios (Pendiente)'!H19</f>
        <v>59601.16</v>
      </c>
      <c r="I32" s="6" t="n">
        <f aca="false">SUM(B32:H32)</f>
        <v>237870.52</v>
      </c>
    </row>
    <row r="33" customFormat="false" ht="15" hidden="false" customHeight="true" outlineLevel="0" collapsed="false">
      <c r="A33" s="5" t="s">
        <v>24</v>
      </c>
      <c r="B33" s="6" t="n">
        <f aca="false">'Impuestos (Pendiente)'!B14</f>
        <v>0</v>
      </c>
      <c r="C33" s="6" t="n">
        <f aca="false">'Impuestos (Pendiente)'!C14</f>
        <v>0</v>
      </c>
      <c r="D33" s="6" t="n">
        <f aca="false">'Impuestos (Pendiente)'!D14</f>
        <v>27900</v>
      </c>
      <c r="E33" s="6" t="n">
        <f aca="false">'Impuestos (Pendiente)'!E14</f>
        <v>120000</v>
      </c>
      <c r="F33" s="6" t="n">
        <f aca="false">'Impuestos (Pendiente)'!F14</f>
        <v>125000</v>
      </c>
      <c r="G33" s="6" t="n">
        <f aca="false">'Impuestos (Pendiente)'!G14</f>
        <v>57000</v>
      </c>
      <c r="H33" s="6" t="n">
        <f aca="false">'Impuestos (Pendiente)'!H14</f>
        <v>163021.54</v>
      </c>
      <c r="I33" s="6" t="n">
        <f aca="false">SUM(B33:H33)</f>
        <v>492921.54</v>
      </c>
    </row>
    <row r="34" customFormat="false" ht="15" hidden="false" customHeight="true" outlineLevel="0" collapsed="false">
      <c r="A34" s="5" t="s">
        <v>25</v>
      </c>
      <c r="B34" s="6" t="n">
        <f aca="false">'Producto-Fruta (Pendiente)'!B7</f>
        <v>0</v>
      </c>
      <c r="C34" s="6" t="n">
        <f aca="false">'Producto-Fruta (Pendiente)'!C7</f>
        <v>0</v>
      </c>
      <c r="D34" s="6" t="n">
        <f aca="false">'Producto-Fruta (Pendiente)'!D7</f>
        <v>0</v>
      </c>
      <c r="E34" s="6" t="n">
        <f aca="false">'Producto-Fruta (Pendiente)'!E7</f>
        <v>0</v>
      </c>
      <c r="F34" s="6" t="n">
        <f aca="false">'Producto-Fruta (Pendiente)'!F7</f>
        <v>0</v>
      </c>
      <c r="G34" s="6" t="n">
        <f aca="false">'Producto-Fruta (Pendiente)'!G7</f>
        <v>0</v>
      </c>
      <c r="H34" s="6" t="n">
        <f aca="false">'Producto-Fruta (Pendiente)'!H7</f>
        <v>0</v>
      </c>
      <c r="I34" s="6" t="n">
        <f aca="false">SUM(B34:H34)</f>
        <v>0</v>
      </c>
    </row>
    <row r="35" customFormat="false" ht="15" hidden="false" customHeight="true" outlineLevel="0" collapsed="false">
      <c r="A35" s="5" t="s">
        <v>26</v>
      </c>
      <c r="B35" s="6" t="n">
        <f aca="false">'LAR-Otros (Pendiente)'!B7</f>
        <v>0</v>
      </c>
      <c r="C35" s="6" t="n">
        <f aca="false">'LAR-Otros (Pendiente)'!C7</f>
        <v>0</v>
      </c>
      <c r="D35" s="6" t="n">
        <f aca="false">'LAR-Otros (Pendiente)'!D7</f>
        <v>141000</v>
      </c>
      <c r="E35" s="6" t="n">
        <f aca="false">'LAR-Otros (Pendiente)'!E7</f>
        <v>141000</v>
      </c>
      <c r="F35" s="6" t="n">
        <f aca="false">'LAR-Otros (Pendiente)'!F7</f>
        <v>0</v>
      </c>
      <c r="G35" s="6" t="n">
        <f aca="false">'LAR-Otros (Pendiente)'!G7</f>
        <v>0</v>
      </c>
      <c r="H35" s="6" t="n">
        <f aca="false">'LAR-Otros (Pendiente)'!H7</f>
        <v>154000</v>
      </c>
      <c r="I35" s="6" t="n">
        <f aca="false">SUM(B35:H35)</f>
        <v>436000</v>
      </c>
    </row>
    <row r="36" customFormat="false" ht="15" hidden="false" customHeight="true" outlineLevel="0" collapsed="false">
      <c r="A36" s="7" t="s">
        <v>29</v>
      </c>
      <c r="B36" s="8" t="n">
        <f aca="false">SUM(B29:B35)</f>
        <v>329762</v>
      </c>
      <c r="C36" s="8" t="n">
        <f aca="false">SUM(C29:C35)</f>
        <v>742446.26</v>
      </c>
      <c r="D36" s="8" t="n">
        <f aca="false">SUM(D29:D35)</f>
        <v>783233.22</v>
      </c>
      <c r="E36" s="8" t="n">
        <f aca="false">SUM(E29:E35)</f>
        <v>927193.04</v>
      </c>
      <c r="F36" s="8" t="n">
        <f aca="false">SUM(F29:F35)</f>
        <v>900505.74</v>
      </c>
      <c r="G36" s="8" t="n">
        <f aca="false">SUM(G29:G35)</f>
        <v>543865.2</v>
      </c>
      <c r="H36" s="8" t="n">
        <f aca="false">SUM(H29:H35)</f>
        <v>1019588.42</v>
      </c>
      <c r="I36" s="8" t="n">
        <f aca="false">SUM(I29:I35)</f>
        <v>5246593.88</v>
      </c>
    </row>
  </sheetData>
  <mergeCells count="2">
    <mergeCell ref="A1:I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4"/>
  </cols>
  <sheetData>
    <row r="1" customFormat="false" ht="15.75" hidden="false" customHeight="true" outlineLevel="0" collapsed="false">
      <c r="A1" s="10" t="s">
        <v>30</v>
      </c>
      <c r="B1" s="10"/>
      <c r="C1" s="10"/>
      <c r="D1" s="10"/>
      <c r="E1" s="10"/>
      <c r="F1" s="10"/>
      <c r="G1" s="10"/>
      <c r="H1" s="10"/>
      <c r="I1" s="10"/>
    </row>
    <row r="3" customFormat="false" ht="15" hidden="false" customHeight="true" outlineLevel="0" collapsed="false">
      <c r="A3" s="11" t="s">
        <v>2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19</v>
      </c>
    </row>
    <row r="4" customFormat="false" ht="15" hidden="false" customHeight="true" outlineLevel="0" collapsed="false">
      <c r="A4" s="12" t="s">
        <v>3</v>
      </c>
      <c r="B4" s="13" t="n">
        <f aca="false">Resumen!B5</f>
        <v>736500.8</v>
      </c>
      <c r="C4" s="13" t="n">
        <f aca="false">Resumen!B6</f>
        <v>1758496.8</v>
      </c>
      <c r="D4" s="13" t="n">
        <f aca="false">Resumen!B7</f>
        <v>1008213.08</v>
      </c>
      <c r="E4" s="13" t="n">
        <f aca="false">Resumen!B8</f>
        <v>1214504</v>
      </c>
      <c r="F4" s="13" t="n">
        <f aca="false">Resumen!B9</f>
        <v>1322706</v>
      </c>
      <c r="G4" s="13" t="n">
        <f aca="false">Resumen!B10</f>
        <v>1382415.28</v>
      </c>
      <c r="H4" s="13" t="n">
        <f aca="false">Resumen!B11</f>
        <v>1064879.8</v>
      </c>
      <c r="I4" s="13" t="n">
        <f aca="false">SUM(B4:H4)</f>
        <v>8487715.76</v>
      </c>
    </row>
    <row r="5" customFormat="false" ht="15" hidden="false" customHeight="true" outlineLevel="0" collapsed="false">
      <c r="A5" s="14" t="s">
        <v>31</v>
      </c>
      <c r="B5" s="15" t="n">
        <f aca="false">B4</f>
        <v>736500.8</v>
      </c>
      <c r="C5" s="15" t="n">
        <f aca="false">C4</f>
        <v>1758496.8</v>
      </c>
      <c r="D5" s="15" t="n">
        <f aca="false">D4</f>
        <v>1008213.08</v>
      </c>
      <c r="E5" s="15" t="n">
        <f aca="false">E4</f>
        <v>1214504</v>
      </c>
      <c r="F5" s="15" t="n">
        <f aca="false">F4</f>
        <v>1322706</v>
      </c>
      <c r="G5" s="15" t="n">
        <f aca="false">G4</f>
        <v>1382415.28</v>
      </c>
      <c r="H5" s="15" t="n">
        <f aca="false">H4</f>
        <v>1064879.8</v>
      </c>
      <c r="I5" s="15" t="n">
        <f aca="false">I4</f>
        <v>8487715.76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9" min="2" style="1" width="14"/>
  </cols>
  <sheetData>
    <row r="1" customFormat="false" ht="15.75" hidden="false" customHeight="true" outlineLevel="0" collapsed="false">
      <c r="A1" s="10" t="s">
        <v>32</v>
      </c>
      <c r="B1" s="10"/>
      <c r="C1" s="10"/>
      <c r="D1" s="10"/>
      <c r="E1" s="10"/>
      <c r="F1" s="10"/>
      <c r="G1" s="10"/>
      <c r="H1" s="10"/>
      <c r="I1" s="10"/>
    </row>
    <row r="3" customFormat="false" ht="15" hidden="false" customHeight="true" outlineLevel="0" collapsed="false">
      <c r="A3" s="11" t="s">
        <v>2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19</v>
      </c>
    </row>
    <row r="4" customFormat="false" ht="15" hidden="false" customHeight="true" outlineLevel="0" collapsed="false">
      <c r="A4" s="12" t="s">
        <v>4</v>
      </c>
      <c r="B4" s="13" t="n">
        <f aca="false">Resumen!C5</f>
        <v>12950</v>
      </c>
      <c r="C4" s="13" t="n">
        <f aca="false">Resumen!C6</f>
        <v>42850</v>
      </c>
      <c r="D4" s="13" t="n">
        <f aca="false">Resumen!C7</f>
        <v>0</v>
      </c>
      <c r="E4" s="13" t="n">
        <f aca="false">Resumen!C8</f>
        <v>0</v>
      </c>
      <c r="F4" s="13" t="n">
        <f aca="false">Resumen!C9</f>
        <v>75850</v>
      </c>
      <c r="G4" s="13" t="n">
        <f aca="false">Resumen!C10</f>
        <v>92750</v>
      </c>
      <c r="H4" s="13" t="n">
        <f aca="false">Resumen!C11</f>
        <v>82050</v>
      </c>
      <c r="I4" s="13" t="n">
        <f aca="false">SUM(B4:H4)</f>
        <v>306450</v>
      </c>
    </row>
    <row r="5" customFormat="false" ht="15" hidden="false" customHeight="true" outlineLevel="0" collapsed="false">
      <c r="A5" s="14" t="s">
        <v>33</v>
      </c>
      <c r="B5" s="15" t="n">
        <f aca="false">B4</f>
        <v>12950</v>
      </c>
      <c r="C5" s="15" t="n">
        <f aca="false">C4</f>
        <v>42850</v>
      </c>
      <c r="D5" s="15" t="n">
        <f aca="false">D4</f>
        <v>0</v>
      </c>
      <c r="E5" s="15" t="n">
        <f aca="false">E4</f>
        <v>0</v>
      </c>
      <c r="F5" s="15" t="n">
        <f aca="false">F4</f>
        <v>75850</v>
      </c>
      <c r="G5" s="15" t="n">
        <f aca="false">G4</f>
        <v>92750</v>
      </c>
      <c r="H5" s="15" t="n">
        <f aca="false">H4</f>
        <v>82050</v>
      </c>
      <c r="I5" s="15" t="n">
        <f aca="false">I4</f>
        <v>306450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9" min="2" style="1" width="14"/>
  </cols>
  <sheetData>
    <row r="1" customFormat="false" ht="15.75" hidden="false" customHeight="true" outlineLevel="0" collapsed="false">
      <c r="A1" s="10" t="s">
        <v>34</v>
      </c>
      <c r="B1" s="10"/>
      <c r="C1" s="10"/>
      <c r="D1" s="10"/>
      <c r="E1" s="10"/>
      <c r="F1" s="10"/>
      <c r="G1" s="10"/>
      <c r="H1" s="10"/>
      <c r="I1" s="10"/>
    </row>
    <row r="3" customFormat="false" ht="15" hidden="false" customHeight="true" outlineLevel="0" collapsed="false">
      <c r="A3" s="11" t="s">
        <v>2</v>
      </c>
      <c r="B3" s="11" t="s">
        <v>8</v>
      </c>
      <c r="C3" s="11" t="s">
        <v>9</v>
      </c>
      <c r="D3" s="11" t="s">
        <v>10</v>
      </c>
      <c r="E3" s="11" t="s">
        <v>11</v>
      </c>
      <c r="F3" s="11" t="s">
        <v>12</v>
      </c>
      <c r="G3" s="11" t="s">
        <v>13</v>
      </c>
      <c r="H3" s="11" t="s">
        <v>14</v>
      </c>
      <c r="I3" s="11" t="s">
        <v>19</v>
      </c>
    </row>
    <row r="4" customFormat="false" ht="15" hidden="false" customHeight="true" outlineLevel="0" collapsed="false">
      <c r="A4" s="12" t="s">
        <v>35</v>
      </c>
      <c r="B4" s="13" t="n">
        <f aca="false">Resumen!F5</f>
        <v>-19925.2</v>
      </c>
      <c r="C4" s="13" t="n">
        <f aca="false">Resumen!F6</f>
        <v>-96328.22</v>
      </c>
      <c r="D4" s="13" t="n">
        <f aca="false">Resumen!F7</f>
        <v>402530.87</v>
      </c>
      <c r="E4" s="13" t="n">
        <f aca="false">Resumen!F8</f>
        <v>369589.43</v>
      </c>
      <c r="F4" s="13" t="n">
        <f aca="false">Resumen!F9</f>
        <v>436988.966</v>
      </c>
      <c r="G4" s="13" t="n">
        <f aca="false">Resumen!F10</f>
        <v>91208.6000000001</v>
      </c>
      <c r="H4" s="13" t="n">
        <f aca="false">Resumen!F11</f>
        <v>-54302.284</v>
      </c>
      <c r="I4" s="13" t="n">
        <f aca="false">SUM(B4:H4)</f>
        <v>1129762.162</v>
      </c>
    </row>
    <row r="5" customFormat="false" ht="15" hidden="false" customHeight="true" outlineLevel="0" collapsed="false">
      <c r="A5" s="14" t="s">
        <v>36</v>
      </c>
      <c r="B5" s="15" t="n">
        <f aca="false">B4</f>
        <v>-19925.2</v>
      </c>
      <c r="C5" s="15" t="n">
        <f aca="false">C4</f>
        <v>-96328.22</v>
      </c>
      <c r="D5" s="15" t="n">
        <f aca="false">D4</f>
        <v>402530.87</v>
      </c>
      <c r="E5" s="15" t="n">
        <f aca="false">E4</f>
        <v>369589.43</v>
      </c>
      <c r="F5" s="15" t="n">
        <f aca="false">F4</f>
        <v>436988.966</v>
      </c>
      <c r="G5" s="15" t="n">
        <f aca="false">G4</f>
        <v>91208.6000000001</v>
      </c>
      <c r="H5" s="15" t="n">
        <f aca="false">H4</f>
        <v>-54302.284</v>
      </c>
      <c r="I5" s="15" t="n">
        <f aca="false">I4</f>
        <v>1129762.162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5" min="23" style="0" width="13"/>
  </cols>
  <sheetData>
    <row r="1" customFormat="false" ht="24" hidden="false" customHeight="true" outlineLevel="0" collapsed="false">
      <c r="A1" s="10" t="s">
        <v>37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8" hidden="false" customHeight="true" outlineLevel="0" collapsed="false">
      <c r="A2" s="16" t="s">
        <v>38</v>
      </c>
      <c r="B2" s="17" t="s">
        <v>8</v>
      </c>
      <c r="C2" s="17"/>
      <c r="D2" s="17"/>
      <c r="E2" s="17" t="s">
        <v>9</v>
      </c>
      <c r="F2" s="17"/>
      <c r="G2" s="17"/>
      <c r="H2" s="17" t="s">
        <v>10</v>
      </c>
      <c r="I2" s="17"/>
      <c r="J2" s="17"/>
      <c r="K2" s="17" t="s">
        <v>11</v>
      </c>
      <c r="L2" s="17"/>
      <c r="M2" s="17"/>
      <c r="N2" s="17" t="s">
        <v>12</v>
      </c>
      <c r="O2" s="17"/>
      <c r="P2" s="17"/>
      <c r="Q2" s="17" t="s">
        <v>13</v>
      </c>
      <c r="R2" s="17"/>
      <c r="S2" s="17"/>
      <c r="T2" s="17" t="s">
        <v>14</v>
      </c>
      <c r="U2" s="17"/>
      <c r="V2" s="17"/>
      <c r="W2" s="17" t="s">
        <v>15</v>
      </c>
      <c r="X2" s="17"/>
      <c r="Y2" s="17"/>
    </row>
    <row r="3" customFormat="false" ht="15.75" hidden="false" customHeight="true" outlineLevel="0" collapsed="false">
      <c r="A3" s="18"/>
      <c r="B3" s="19" t="s">
        <v>39</v>
      </c>
      <c r="C3" s="19" t="s">
        <v>6</v>
      </c>
      <c r="D3" s="19" t="s">
        <v>19</v>
      </c>
      <c r="E3" s="19" t="s">
        <v>39</v>
      </c>
      <c r="F3" s="19" t="s">
        <v>6</v>
      </c>
      <c r="G3" s="19" t="s">
        <v>19</v>
      </c>
      <c r="H3" s="19" t="s">
        <v>39</v>
      </c>
      <c r="I3" s="19" t="s">
        <v>6</v>
      </c>
      <c r="J3" s="19" t="s">
        <v>19</v>
      </c>
      <c r="K3" s="19" t="s">
        <v>39</v>
      </c>
      <c r="L3" s="19" t="s">
        <v>6</v>
      </c>
      <c r="M3" s="19" t="s">
        <v>19</v>
      </c>
      <c r="N3" s="19" t="s">
        <v>39</v>
      </c>
      <c r="O3" s="19" t="s">
        <v>6</v>
      </c>
      <c r="P3" s="19" t="s">
        <v>19</v>
      </c>
      <c r="Q3" s="19" t="s">
        <v>39</v>
      </c>
      <c r="R3" s="19" t="s">
        <v>6</v>
      </c>
      <c r="S3" s="19" t="s">
        <v>19</v>
      </c>
      <c r="T3" s="19" t="s">
        <v>39</v>
      </c>
      <c r="U3" s="19" t="s">
        <v>6</v>
      </c>
      <c r="V3" s="19" t="s">
        <v>19</v>
      </c>
      <c r="W3" s="19" t="s">
        <v>39</v>
      </c>
      <c r="X3" s="19" t="s">
        <v>6</v>
      </c>
      <c r="Y3" s="19" t="s">
        <v>19</v>
      </c>
    </row>
    <row r="4" customFormat="false" ht="15" hidden="false" customHeight="true" outlineLevel="0" collapsed="false">
      <c r="A4" s="20" t="s">
        <v>40</v>
      </c>
      <c r="B4" s="21" t="n">
        <v>355000</v>
      </c>
      <c r="C4" s="21"/>
      <c r="D4" s="22" t="n">
        <f aca="false">B4+C4</f>
        <v>355000</v>
      </c>
      <c r="E4" s="21" t="n">
        <v>609298</v>
      </c>
      <c r="F4" s="21"/>
      <c r="G4" s="22" t="n">
        <f aca="false">E4+F4</f>
        <v>609298</v>
      </c>
      <c r="H4" s="21" t="n">
        <v>383000</v>
      </c>
      <c r="I4" s="21" t="n">
        <v>22000</v>
      </c>
      <c r="J4" s="22" t="n">
        <f aca="false">H4+I4</f>
        <v>405000</v>
      </c>
      <c r="K4" s="21" t="n">
        <v>418000</v>
      </c>
      <c r="L4" s="21" t="n">
        <v>122500</v>
      </c>
      <c r="M4" s="22" t="n">
        <f aca="false">K4+L4</f>
        <v>540500</v>
      </c>
      <c r="N4" s="21" t="n">
        <v>435000</v>
      </c>
      <c r="O4" s="21" t="n">
        <v>170000</v>
      </c>
      <c r="P4" s="22" t="n">
        <f aca="false">N4+O4</f>
        <v>605000</v>
      </c>
      <c r="Q4" s="21" t="n">
        <v>403000</v>
      </c>
      <c r="R4" s="21"/>
      <c r="S4" s="22" t="n">
        <f aca="false">Q4+R4</f>
        <v>403000</v>
      </c>
      <c r="T4" s="21" t="n">
        <v>440000</v>
      </c>
      <c r="U4" s="21"/>
      <c r="V4" s="22" t="n">
        <f aca="false">T4+U4</f>
        <v>440000</v>
      </c>
      <c r="W4" s="23" t="n">
        <f aca="false">B4+E4+H4+K4+N4+Q4+T4</f>
        <v>3043298</v>
      </c>
      <c r="X4" s="24" t="n">
        <f aca="false">C4+F4+I4+L4+O4+R4+U4</f>
        <v>314500</v>
      </c>
      <c r="Y4" s="25" t="n">
        <f aca="false">W4+X4</f>
        <v>3357798</v>
      </c>
    </row>
    <row r="5" customFormat="false" ht="15" hidden="false" customHeight="true" outlineLevel="0" collapsed="false">
      <c r="A5" s="20" t="s">
        <v>41</v>
      </c>
      <c r="B5" s="21" t="n">
        <v>73000</v>
      </c>
      <c r="C5" s="21"/>
      <c r="D5" s="22" t="n">
        <f aca="false">B5+C5</f>
        <v>73000</v>
      </c>
      <c r="E5" s="21" t="n">
        <v>65852.5</v>
      </c>
      <c r="F5" s="21"/>
      <c r="G5" s="22" t="n">
        <f aca="false">E5+F5</f>
        <v>65852.5</v>
      </c>
      <c r="H5" s="21" t="n">
        <v>68200</v>
      </c>
      <c r="I5" s="21" t="n">
        <v>17450</v>
      </c>
      <c r="J5" s="22" t="n">
        <f aca="false">H5+I5</f>
        <v>85650</v>
      </c>
      <c r="K5" s="21" t="n">
        <v>70450</v>
      </c>
      <c r="L5" s="21" t="n">
        <v>20000</v>
      </c>
      <c r="M5" s="22" t="n">
        <f aca="false">K5+L5</f>
        <v>90450</v>
      </c>
      <c r="N5" s="21" t="n">
        <v>86850</v>
      </c>
      <c r="O5" s="21" t="n">
        <v>8950</v>
      </c>
      <c r="P5" s="22" t="n">
        <f aca="false">N5+O5</f>
        <v>95800</v>
      </c>
      <c r="Q5" s="21" t="n">
        <v>92750</v>
      </c>
      <c r="R5" s="21"/>
      <c r="S5" s="22" t="n">
        <f aca="false">Q5+R5</f>
        <v>92750</v>
      </c>
      <c r="T5" s="21" t="n">
        <v>98300</v>
      </c>
      <c r="U5" s="21"/>
      <c r="V5" s="22" t="n">
        <f aca="false">T5+U5</f>
        <v>98300</v>
      </c>
      <c r="W5" s="23" t="n">
        <f aca="false">B5+E5+H5+K5+N5+Q5+T5</f>
        <v>555402.5</v>
      </c>
      <c r="X5" s="24" t="n">
        <f aca="false">C5+F5+I5+L5+O5+R5+U5</f>
        <v>46400</v>
      </c>
      <c r="Y5" s="25" t="n">
        <f aca="false">W5+X5</f>
        <v>601802.5</v>
      </c>
    </row>
    <row r="6" customFormat="false" ht="15" hidden="false" customHeight="true" outlineLevel="0" collapsed="false">
      <c r="A6" s="20" t="s">
        <v>42</v>
      </c>
      <c r="B6" s="21" t="n">
        <v>80000</v>
      </c>
      <c r="C6" s="21" t="n">
        <v>50136</v>
      </c>
      <c r="D6" s="22" t="n">
        <f aca="false">B6+C6</f>
        <v>130136</v>
      </c>
      <c r="E6" s="21"/>
      <c r="F6" s="21" t="n">
        <v>100000</v>
      </c>
      <c r="G6" s="22" t="n">
        <f aca="false">E6+F6</f>
        <v>100000</v>
      </c>
      <c r="H6" s="21"/>
      <c r="I6" s="21" t="n">
        <v>20000</v>
      </c>
      <c r="J6" s="22" t="n">
        <f aca="false">H6+I6</f>
        <v>20000</v>
      </c>
      <c r="K6" s="21" t="n">
        <v>86783.47</v>
      </c>
      <c r="L6" s="21" t="n">
        <v>79105</v>
      </c>
      <c r="M6" s="22" t="n">
        <f aca="false">K6+L6</f>
        <v>165888.47</v>
      </c>
      <c r="N6" s="21" t="n">
        <v>54415.44</v>
      </c>
      <c r="O6" s="21" t="n">
        <v>80000</v>
      </c>
      <c r="P6" s="22" t="n">
        <f aca="false">N6+O6</f>
        <v>134415.44</v>
      </c>
      <c r="Q6" s="21" t="n">
        <v>40426.65</v>
      </c>
      <c r="R6" s="21" t="n">
        <v>70000</v>
      </c>
      <c r="S6" s="22" t="n">
        <f aca="false">Q6+R6</f>
        <v>110426.65</v>
      </c>
      <c r="T6" s="21" t="n">
        <v>68302.86</v>
      </c>
      <c r="U6" s="21" t="n">
        <v>40000</v>
      </c>
      <c r="V6" s="22" t="n">
        <f aca="false">T6+U6</f>
        <v>108302.86</v>
      </c>
      <c r="W6" s="23" t="n">
        <f aca="false">B6+E6+H6+K6+N6+Q6+T6</f>
        <v>329928.42</v>
      </c>
      <c r="X6" s="24" t="n">
        <f aca="false">C6+F6+I6+L6+O6+R6+U6</f>
        <v>439241</v>
      </c>
      <c r="Y6" s="25" t="n">
        <f aca="false">W6+X6</f>
        <v>769169.42</v>
      </c>
    </row>
    <row r="7" customFormat="false" ht="15" hidden="false" customHeight="true" outlineLevel="0" collapsed="false">
      <c r="A7" s="20" t="s">
        <v>43</v>
      </c>
      <c r="B7" s="21" t="n">
        <v>80000</v>
      </c>
      <c r="C7" s="21" t="n">
        <v>50000</v>
      </c>
      <c r="D7" s="22" t="n">
        <f aca="false">B7+C7</f>
        <v>130000</v>
      </c>
      <c r="E7" s="21" t="n">
        <v>160000</v>
      </c>
      <c r="F7" s="21" t="n">
        <v>50000</v>
      </c>
      <c r="G7" s="22" t="n">
        <f aca="false">E7+F7</f>
        <v>210000</v>
      </c>
      <c r="H7" s="21"/>
      <c r="I7" s="21"/>
      <c r="J7" s="22" t="n">
        <f aca="false">H7+I7</f>
        <v>0</v>
      </c>
      <c r="K7" s="21"/>
      <c r="L7" s="21"/>
      <c r="M7" s="22" t="n">
        <f aca="false">K7+L7</f>
        <v>0</v>
      </c>
      <c r="N7" s="21"/>
      <c r="O7" s="21"/>
      <c r="P7" s="22" t="n">
        <f aca="false">N7+O7</f>
        <v>0</v>
      </c>
      <c r="Q7" s="21"/>
      <c r="R7" s="21"/>
      <c r="S7" s="22" t="n">
        <f aca="false">Q7+R7</f>
        <v>0</v>
      </c>
      <c r="T7" s="21"/>
      <c r="U7" s="21"/>
      <c r="V7" s="22" t="n">
        <f aca="false">T7+U7</f>
        <v>0</v>
      </c>
      <c r="W7" s="23" t="n">
        <f aca="false">B7+E7+H7+K7+N7+Q7+T7</f>
        <v>240000</v>
      </c>
      <c r="X7" s="24" t="n">
        <f aca="false">C7+F7+I7+L7+O7+R7+U7</f>
        <v>100000</v>
      </c>
      <c r="Y7" s="25" t="n">
        <f aca="false">W7+X7</f>
        <v>340000</v>
      </c>
    </row>
    <row r="8" customFormat="false" ht="15" hidden="false" customHeight="true" outlineLevel="0" collapsed="false">
      <c r="A8" s="20" t="s">
        <v>44</v>
      </c>
      <c r="B8" s="21"/>
      <c r="C8" s="21"/>
      <c r="D8" s="22" t="n">
        <f aca="false">B8+C8</f>
        <v>0</v>
      </c>
      <c r="E8" s="21"/>
      <c r="F8" s="21"/>
      <c r="G8" s="22" t="n">
        <f aca="false">E8+F8</f>
        <v>0</v>
      </c>
      <c r="H8" s="21"/>
      <c r="I8" s="21"/>
      <c r="J8" s="22" t="n">
        <f aca="false">H8+I8</f>
        <v>0</v>
      </c>
      <c r="K8" s="21"/>
      <c r="L8" s="21"/>
      <c r="M8" s="22" t="n">
        <f aca="false">K8+L8</f>
        <v>0</v>
      </c>
      <c r="N8" s="21"/>
      <c r="O8" s="21"/>
      <c r="P8" s="22" t="n">
        <f aca="false">N8+O8</f>
        <v>0</v>
      </c>
      <c r="Q8" s="21" t="n">
        <v>185800</v>
      </c>
      <c r="R8" s="21"/>
      <c r="S8" s="22" t="n">
        <f aca="false">Q8+R8</f>
        <v>185800</v>
      </c>
      <c r="T8" s="21"/>
      <c r="U8" s="21"/>
      <c r="V8" s="22" t="n">
        <f aca="false">T8+U8</f>
        <v>0</v>
      </c>
      <c r="W8" s="23" t="n">
        <f aca="false">B8+E8+H8+K8+N8+Q8+T8</f>
        <v>185800</v>
      </c>
      <c r="X8" s="24" t="n">
        <f aca="false">C8+F8+I8+L8+O8+R8+U8</f>
        <v>0</v>
      </c>
      <c r="Y8" s="25" t="n">
        <f aca="false">W8+X8</f>
        <v>185800</v>
      </c>
    </row>
    <row r="9" customFormat="false" ht="15" hidden="false" customHeight="true" outlineLevel="0" collapsed="false">
      <c r="A9" s="20" t="s">
        <v>45</v>
      </c>
      <c r="B9" s="21" t="n">
        <v>30000</v>
      </c>
      <c r="C9" s="21" t="n">
        <v>20000</v>
      </c>
      <c r="D9" s="22" t="n">
        <f aca="false">B9+C9</f>
        <v>50000</v>
      </c>
      <c r="E9" s="21" t="n">
        <v>40000</v>
      </c>
      <c r="F9" s="21" t="n">
        <v>15000</v>
      </c>
      <c r="G9" s="22" t="n">
        <f aca="false">E9+F9</f>
        <v>55000</v>
      </c>
      <c r="H9" s="21" t="n">
        <v>15000</v>
      </c>
      <c r="I9" s="21" t="n">
        <v>30000</v>
      </c>
      <c r="J9" s="22" t="n">
        <f aca="false">H9+I9</f>
        <v>45000</v>
      </c>
      <c r="K9" s="21" t="n">
        <v>49999.8</v>
      </c>
      <c r="L9" s="21" t="n">
        <v>39999.8</v>
      </c>
      <c r="M9" s="22" t="n">
        <f aca="false">K9+L9</f>
        <v>89999.6</v>
      </c>
      <c r="N9" s="21" t="n">
        <v>10000</v>
      </c>
      <c r="O9" s="21" t="n">
        <v>40000</v>
      </c>
      <c r="P9" s="22" t="n">
        <f aca="false">N9+O9</f>
        <v>50000</v>
      </c>
      <c r="Q9" s="21" t="n">
        <v>20000</v>
      </c>
      <c r="R9" s="21" t="n">
        <v>20000</v>
      </c>
      <c r="S9" s="22" t="n">
        <f aca="false">Q9+R9</f>
        <v>40000</v>
      </c>
      <c r="T9" s="21" t="n">
        <v>20000</v>
      </c>
      <c r="U9" s="21" t="n">
        <v>30000</v>
      </c>
      <c r="V9" s="22" t="n">
        <f aca="false">T9+U9</f>
        <v>50000</v>
      </c>
      <c r="W9" s="23" t="n">
        <f aca="false">B9+E9+H9+K9+N9+Q9+T9</f>
        <v>184999.8</v>
      </c>
      <c r="X9" s="24" t="n">
        <f aca="false">C9+F9+I9+L9+O9+R9+U9</f>
        <v>194999.8</v>
      </c>
      <c r="Y9" s="25" t="n">
        <f aca="false">W9+X9</f>
        <v>379999.6</v>
      </c>
    </row>
    <row r="10" customFormat="false" ht="15" hidden="false" customHeight="true" outlineLevel="0" collapsed="false">
      <c r="A10" s="20" t="s">
        <v>46</v>
      </c>
      <c r="B10" s="21"/>
      <c r="C10" s="21" t="n">
        <v>25800</v>
      </c>
      <c r="D10" s="22" t="n">
        <f aca="false">B10+C10</f>
        <v>25800</v>
      </c>
      <c r="E10" s="21" t="n">
        <v>67200</v>
      </c>
      <c r="F10" s="21" t="n">
        <v>45600</v>
      </c>
      <c r="G10" s="22" t="n">
        <f aca="false">E10+F10</f>
        <v>112800</v>
      </c>
      <c r="H10" s="21"/>
      <c r="I10" s="21" t="n">
        <v>123388.28</v>
      </c>
      <c r="J10" s="22" t="n">
        <f aca="false">H10+I10</f>
        <v>123388.28</v>
      </c>
      <c r="K10" s="21" t="n">
        <v>28500</v>
      </c>
      <c r="L10" s="21" t="n">
        <v>28500</v>
      </c>
      <c r="M10" s="22" t="n">
        <f aca="false">K10+L10</f>
        <v>57000</v>
      </c>
      <c r="N10" s="21"/>
      <c r="O10" s="21" t="n">
        <v>57000</v>
      </c>
      <c r="P10" s="22" t="n">
        <f aca="false">N10+O10</f>
        <v>57000</v>
      </c>
      <c r="Q10" s="21"/>
      <c r="R10" s="21"/>
      <c r="S10" s="22" t="n">
        <f aca="false">Q10+R10</f>
        <v>0</v>
      </c>
      <c r="T10" s="21"/>
      <c r="U10" s="21"/>
      <c r="V10" s="22" t="n">
        <f aca="false">T10+U10</f>
        <v>0</v>
      </c>
      <c r="W10" s="23" t="n">
        <f aca="false">B10+E10+H10+K10+N10+Q10+T10</f>
        <v>95700</v>
      </c>
      <c r="X10" s="24" t="n">
        <f aca="false">C10+F10+I10+L10+O10+R10+U10</f>
        <v>280288.28</v>
      </c>
      <c r="Y10" s="25" t="n">
        <f aca="false">W10+X10</f>
        <v>375988.28</v>
      </c>
    </row>
    <row r="11" customFormat="false" ht="15" hidden="false" customHeight="true" outlineLevel="0" collapsed="false">
      <c r="A11" s="20" t="s">
        <v>47</v>
      </c>
      <c r="B11" s="21"/>
      <c r="C11" s="21"/>
      <c r="D11" s="22" t="n">
        <f aca="false">B11+C11</f>
        <v>0</v>
      </c>
      <c r="E11" s="21" t="n">
        <v>22846.25</v>
      </c>
      <c r="F11" s="21" t="n">
        <v>45692.5</v>
      </c>
      <c r="G11" s="22" t="n">
        <f aca="false">E11+F11</f>
        <v>68538.75</v>
      </c>
      <c r="H11" s="21"/>
      <c r="I11" s="21"/>
      <c r="J11" s="22" t="n">
        <f aca="false">H11+I11</f>
        <v>0</v>
      </c>
      <c r="K11" s="21" t="n">
        <v>14045.02</v>
      </c>
      <c r="L11" s="21"/>
      <c r="M11" s="22" t="n">
        <f aca="false">K11+L11</f>
        <v>14045.02</v>
      </c>
      <c r="N11" s="21" t="n">
        <v>6811.7</v>
      </c>
      <c r="O11" s="21"/>
      <c r="P11" s="22" t="n">
        <f aca="false">N11+O11</f>
        <v>6811.7</v>
      </c>
      <c r="Q11" s="21"/>
      <c r="R11" s="21"/>
      <c r="S11" s="22" t="n">
        <f aca="false">Q11+R11</f>
        <v>0</v>
      </c>
      <c r="T11" s="21"/>
      <c r="U11" s="21"/>
      <c r="V11" s="22" t="n">
        <f aca="false">T11+U11</f>
        <v>0</v>
      </c>
      <c r="W11" s="23" t="n">
        <f aca="false">B11+E11+H11+K11+N11+Q11+T11</f>
        <v>43702.97</v>
      </c>
      <c r="X11" s="24" t="n">
        <f aca="false">C11+F11+I11+L11+O11+R11+U11</f>
        <v>45692.5</v>
      </c>
      <c r="Y11" s="25" t="n">
        <f aca="false">W11+X11</f>
        <v>89395.47</v>
      </c>
    </row>
    <row r="12" customFormat="false" ht="15" hidden="false" customHeight="true" outlineLevel="0" collapsed="false">
      <c r="A12" s="20" t="s">
        <v>48</v>
      </c>
      <c r="B12" s="21"/>
      <c r="C12" s="21"/>
      <c r="D12" s="22" t="n">
        <f aca="false">B12+C12</f>
        <v>0</v>
      </c>
      <c r="E12" s="21"/>
      <c r="F12" s="21"/>
      <c r="G12" s="22" t="n">
        <f aca="false">E12+F12</f>
        <v>0</v>
      </c>
      <c r="H12" s="21" t="n">
        <v>37500</v>
      </c>
      <c r="I12" s="21"/>
      <c r="J12" s="22" t="n">
        <f aca="false">H12+I12</f>
        <v>37500</v>
      </c>
      <c r="K12" s="21"/>
      <c r="L12" s="21"/>
      <c r="M12" s="22" t="n">
        <f aca="false">K12+L12</f>
        <v>0</v>
      </c>
      <c r="N12" s="21"/>
      <c r="O12" s="21"/>
      <c r="P12" s="22" t="n">
        <f aca="false">N12+O12</f>
        <v>0</v>
      </c>
      <c r="Q12" s="21"/>
      <c r="R12" s="21"/>
      <c r="S12" s="22" t="n">
        <f aca="false">Q12+R12</f>
        <v>0</v>
      </c>
      <c r="T12" s="21"/>
      <c r="U12" s="21"/>
      <c r="V12" s="22" t="n">
        <f aca="false">T12+U12</f>
        <v>0</v>
      </c>
      <c r="W12" s="23" t="n">
        <f aca="false">B12+E12+H12+K12+N12+Q12+T12</f>
        <v>37500</v>
      </c>
      <c r="X12" s="24" t="n">
        <f aca="false">C12+F12+I12+L12+O12+R12+U12</f>
        <v>0</v>
      </c>
      <c r="Y12" s="25" t="n">
        <f aca="false">W12+X12</f>
        <v>37500</v>
      </c>
    </row>
    <row r="13" customFormat="false" ht="15" hidden="false" customHeight="true" outlineLevel="0" collapsed="false">
      <c r="A13" s="20" t="s">
        <v>49</v>
      </c>
      <c r="B13" s="21"/>
      <c r="C13" s="21"/>
      <c r="D13" s="22" t="n">
        <f aca="false">B13+C13</f>
        <v>0</v>
      </c>
      <c r="E13" s="21"/>
      <c r="F13" s="21"/>
      <c r="G13" s="22" t="n">
        <f aca="false">E13+F13</f>
        <v>0</v>
      </c>
      <c r="H13" s="21"/>
      <c r="I13" s="21"/>
      <c r="J13" s="22" t="n">
        <f aca="false">H13+I13</f>
        <v>0</v>
      </c>
      <c r="K13" s="21"/>
      <c r="L13" s="21"/>
      <c r="M13" s="22" t="n">
        <f aca="false">K13+L13</f>
        <v>0</v>
      </c>
      <c r="N13" s="21" t="n">
        <v>21600</v>
      </c>
      <c r="O13" s="21" t="n">
        <v>10800</v>
      </c>
      <c r="P13" s="22" t="n">
        <f aca="false">N13+O13</f>
        <v>32400</v>
      </c>
      <c r="Q13" s="21" t="n">
        <v>12000</v>
      </c>
      <c r="R13" s="21"/>
      <c r="S13" s="22" t="n">
        <f aca="false">Q13+R13</f>
        <v>12000</v>
      </c>
      <c r="T13" s="21"/>
      <c r="U13" s="21"/>
      <c r="V13" s="22" t="n">
        <f aca="false">T13+U13</f>
        <v>0</v>
      </c>
      <c r="W13" s="23" t="n">
        <f aca="false">B13+E13+H13+K13+N13+Q13+T13</f>
        <v>33600</v>
      </c>
      <c r="X13" s="24" t="n">
        <f aca="false">C13+F13+I13+L13+O13+R13+U13</f>
        <v>10800</v>
      </c>
      <c r="Y13" s="25" t="n">
        <f aca="false">W13+X13</f>
        <v>44400</v>
      </c>
    </row>
    <row r="14" customFormat="false" ht="15" hidden="false" customHeight="true" outlineLevel="0" collapsed="false">
      <c r="A14" s="20" t="s">
        <v>50</v>
      </c>
      <c r="B14" s="21"/>
      <c r="C14" s="21"/>
      <c r="D14" s="22" t="n">
        <f aca="false">B14+C14</f>
        <v>0</v>
      </c>
      <c r="E14" s="21"/>
      <c r="F14" s="21"/>
      <c r="G14" s="22" t="n">
        <f aca="false">E14+F14</f>
        <v>0</v>
      </c>
      <c r="H14" s="21"/>
      <c r="I14" s="21"/>
      <c r="J14" s="22" t="n">
        <f aca="false">H14+I14</f>
        <v>0</v>
      </c>
      <c r="K14" s="21"/>
      <c r="L14" s="21"/>
      <c r="M14" s="22" t="n">
        <f aca="false">K14+L14</f>
        <v>0</v>
      </c>
      <c r="N14" s="21"/>
      <c r="O14" s="21"/>
      <c r="P14" s="22" t="n">
        <f aca="false">N14+O14</f>
        <v>0</v>
      </c>
      <c r="Q14" s="21" t="n">
        <v>24644.75</v>
      </c>
      <c r="R14" s="21"/>
      <c r="S14" s="22" t="n">
        <f aca="false">Q14+R14</f>
        <v>24644.75</v>
      </c>
      <c r="T14" s="21"/>
      <c r="U14" s="21"/>
      <c r="V14" s="22" t="n">
        <f aca="false">T14+U14</f>
        <v>0</v>
      </c>
      <c r="W14" s="23" t="n">
        <f aca="false">B14+E14+H14+K14+N14+Q14+T14</f>
        <v>24644.75</v>
      </c>
      <c r="X14" s="24" t="n">
        <f aca="false">C14+F14+I14+L14+O14+R14+U14</f>
        <v>0</v>
      </c>
      <c r="Y14" s="25" t="n">
        <f aca="false">W14+X14</f>
        <v>24644.75</v>
      </c>
    </row>
    <row r="15" customFormat="false" ht="15" hidden="false" customHeight="true" outlineLevel="0" collapsed="false">
      <c r="A15" s="20" t="s">
        <v>51</v>
      </c>
      <c r="B15" s="21"/>
      <c r="C15" s="21"/>
      <c r="D15" s="22" t="n">
        <f aca="false">B15+C15</f>
        <v>0</v>
      </c>
      <c r="E15" s="21"/>
      <c r="F15" s="21"/>
      <c r="G15" s="22" t="n">
        <f aca="false">E15+F15</f>
        <v>0</v>
      </c>
      <c r="H15" s="21"/>
      <c r="I15" s="21"/>
      <c r="J15" s="22" t="n">
        <f aca="false">H15+I15</f>
        <v>0</v>
      </c>
      <c r="K15" s="21"/>
      <c r="L15" s="21"/>
      <c r="M15" s="22" t="n">
        <f aca="false">K15+L15</f>
        <v>0</v>
      </c>
      <c r="N15" s="21"/>
      <c r="O15" s="21"/>
      <c r="P15" s="22" t="n">
        <f aca="false">N15+O15</f>
        <v>0</v>
      </c>
      <c r="Q15" s="21"/>
      <c r="R15" s="21"/>
      <c r="S15" s="22" t="n">
        <f aca="false">Q15+R15</f>
        <v>0</v>
      </c>
      <c r="T15" s="21" t="n">
        <v>20000</v>
      </c>
      <c r="U15" s="21"/>
      <c r="V15" s="22" t="n">
        <f aca="false">T15+U15</f>
        <v>20000</v>
      </c>
      <c r="W15" s="23" t="n">
        <f aca="false">B15+E15+H15+K15+N15+Q15+T15</f>
        <v>20000</v>
      </c>
      <c r="X15" s="24" t="n">
        <f aca="false">C15+F15+I15+L15+O15+R15+U15</f>
        <v>0</v>
      </c>
      <c r="Y15" s="25" t="n">
        <f aca="false">W15+X15</f>
        <v>20000</v>
      </c>
    </row>
    <row r="16" customFormat="false" ht="15" hidden="false" customHeight="true" outlineLevel="0" collapsed="false">
      <c r="A16" s="20" t="s">
        <v>52</v>
      </c>
      <c r="B16" s="21" t="n">
        <v>20000</v>
      </c>
      <c r="C16" s="21"/>
      <c r="D16" s="22" t="n">
        <f aca="false">B16+C16</f>
        <v>20000</v>
      </c>
      <c r="E16" s="21"/>
      <c r="F16" s="21"/>
      <c r="G16" s="22" t="n">
        <f aca="false">E16+F16</f>
        <v>0</v>
      </c>
      <c r="H16" s="21"/>
      <c r="I16" s="21"/>
      <c r="J16" s="22" t="n">
        <f aca="false">H16+I16</f>
        <v>0</v>
      </c>
      <c r="K16" s="21"/>
      <c r="L16" s="21"/>
      <c r="M16" s="22" t="n">
        <f aca="false">K16+L16</f>
        <v>0</v>
      </c>
      <c r="N16" s="21"/>
      <c r="O16" s="21"/>
      <c r="P16" s="22" t="n">
        <f aca="false">N16+O16</f>
        <v>0</v>
      </c>
      <c r="Q16" s="21"/>
      <c r="R16" s="21"/>
      <c r="S16" s="22" t="n">
        <f aca="false">Q16+R16</f>
        <v>0</v>
      </c>
      <c r="T16" s="21"/>
      <c r="U16" s="21"/>
      <c r="V16" s="22" t="n">
        <f aca="false">T16+U16</f>
        <v>0</v>
      </c>
      <c r="W16" s="23" t="n">
        <f aca="false">B16+E16+H16+K16+N16+Q16+T16</f>
        <v>20000</v>
      </c>
      <c r="X16" s="24" t="n">
        <f aca="false">C16+F16+I16+L16+O16+R16+U16</f>
        <v>0</v>
      </c>
      <c r="Y16" s="25" t="n">
        <f aca="false">W16+X16</f>
        <v>20000</v>
      </c>
    </row>
    <row r="17" customFormat="false" ht="15" hidden="false" customHeight="true" outlineLevel="0" collapsed="false">
      <c r="A17" s="20" t="s">
        <v>53</v>
      </c>
      <c r="B17" s="21"/>
      <c r="C17" s="21"/>
      <c r="D17" s="22" t="n">
        <f aca="false">B17+C17</f>
        <v>0</v>
      </c>
      <c r="E17" s="21"/>
      <c r="F17" s="21"/>
      <c r="G17" s="22" t="n">
        <f aca="false">E17+F17</f>
        <v>0</v>
      </c>
      <c r="H17" s="21"/>
      <c r="I17" s="21"/>
      <c r="J17" s="22" t="n">
        <f aca="false">H17+I17</f>
        <v>0</v>
      </c>
      <c r="K17" s="21"/>
      <c r="L17" s="21"/>
      <c r="M17" s="22" t="n">
        <f aca="false">K17+L17</f>
        <v>0</v>
      </c>
      <c r="N17" s="21"/>
      <c r="O17" s="21"/>
      <c r="P17" s="22" t="n">
        <f aca="false">N17+O17</f>
        <v>0</v>
      </c>
      <c r="Q17" s="21" t="n">
        <v>10000</v>
      </c>
      <c r="R17" s="21"/>
      <c r="S17" s="22" t="n">
        <f aca="false">Q17+R17</f>
        <v>10000</v>
      </c>
      <c r="T17" s="21" t="n">
        <v>9000</v>
      </c>
      <c r="U17" s="21"/>
      <c r="V17" s="22" t="n">
        <f aca="false">T17+U17</f>
        <v>9000</v>
      </c>
      <c r="W17" s="23" t="n">
        <f aca="false">B17+E17+H17+K17+N17+Q17+T17</f>
        <v>19000</v>
      </c>
      <c r="X17" s="24" t="n">
        <f aca="false">C17+F17+I17+L17+O17+R17+U17</f>
        <v>0</v>
      </c>
      <c r="Y17" s="25" t="n">
        <f aca="false">W17+X17</f>
        <v>19000</v>
      </c>
    </row>
    <row r="18" customFormat="false" ht="15" hidden="false" customHeight="true" outlineLevel="0" collapsed="false">
      <c r="A18" s="20" t="s">
        <v>54</v>
      </c>
      <c r="B18" s="21"/>
      <c r="C18" s="21"/>
      <c r="D18" s="22" t="n">
        <f aca="false">B18+C18</f>
        <v>0</v>
      </c>
      <c r="E18" s="21"/>
      <c r="F18" s="21"/>
      <c r="G18" s="22" t="n">
        <f aca="false">E18+F18</f>
        <v>0</v>
      </c>
      <c r="H18" s="21"/>
      <c r="I18" s="21"/>
      <c r="J18" s="22" t="n">
        <f aca="false">H18+I18</f>
        <v>0</v>
      </c>
      <c r="K18" s="21"/>
      <c r="L18" s="21"/>
      <c r="M18" s="22" t="n">
        <f aca="false">K18+L18</f>
        <v>0</v>
      </c>
      <c r="N18" s="21"/>
      <c r="O18" s="21"/>
      <c r="P18" s="22" t="n">
        <f aca="false">N18+O18</f>
        <v>0</v>
      </c>
      <c r="Q18" s="21" t="n">
        <v>15645</v>
      </c>
      <c r="R18" s="21"/>
      <c r="S18" s="22" t="n">
        <f aca="false">Q18+R18</f>
        <v>15645</v>
      </c>
      <c r="T18" s="21"/>
      <c r="U18" s="21"/>
      <c r="V18" s="22" t="n">
        <f aca="false">T18+U18</f>
        <v>0</v>
      </c>
      <c r="W18" s="23" t="n">
        <f aca="false">B18+E18+H18+K18+N18+Q18+T18</f>
        <v>15645</v>
      </c>
      <c r="X18" s="24" t="n">
        <f aca="false">C18+F18+I18+L18+O18+R18+U18</f>
        <v>0</v>
      </c>
      <c r="Y18" s="25" t="n">
        <f aca="false">W18+X18</f>
        <v>15645</v>
      </c>
    </row>
    <row r="19" customFormat="false" ht="15" hidden="false" customHeight="true" outlineLevel="0" collapsed="false">
      <c r="A19" s="20" t="s">
        <v>55</v>
      </c>
      <c r="B19" s="21"/>
      <c r="C19" s="21"/>
      <c r="D19" s="22" t="n">
        <f aca="false">B19+C19</f>
        <v>0</v>
      </c>
      <c r="E19" s="21"/>
      <c r="F19" s="21"/>
      <c r="G19" s="22" t="n">
        <f aca="false">E19+F19</f>
        <v>0</v>
      </c>
      <c r="H19" s="21" t="n">
        <v>15600</v>
      </c>
      <c r="I19" s="21"/>
      <c r="J19" s="22" t="n">
        <f aca="false">H19+I19</f>
        <v>15600</v>
      </c>
      <c r="K19" s="21"/>
      <c r="L19" s="21"/>
      <c r="M19" s="22" t="n">
        <f aca="false">K19+L19</f>
        <v>0</v>
      </c>
      <c r="N19" s="21"/>
      <c r="O19" s="21"/>
      <c r="P19" s="22" t="n">
        <f aca="false">N19+O19</f>
        <v>0</v>
      </c>
      <c r="Q19" s="21"/>
      <c r="R19" s="21"/>
      <c r="S19" s="22" t="n">
        <f aca="false">Q19+R19</f>
        <v>0</v>
      </c>
      <c r="T19" s="21"/>
      <c r="U19" s="21"/>
      <c r="V19" s="22" t="n">
        <f aca="false">T19+U19</f>
        <v>0</v>
      </c>
      <c r="W19" s="23" t="n">
        <f aca="false">B19+E19+H19+K19+N19+Q19+T19</f>
        <v>15600</v>
      </c>
      <c r="X19" s="24" t="n">
        <f aca="false">C19+F19+I19+L19+O19+R19+U19</f>
        <v>0</v>
      </c>
      <c r="Y19" s="25" t="n">
        <f aca="false">W19+X19</f>
        <v>15600</v>
      </c>
    </row>
    <row r="20" customFormat="false" ht="15" hidden="false" customHeight="true" outlineLevel="0" collapsed="false">
      <c r="A20" s="20" t="s">
        <v>56</v>
      </c>
      <c r="B20" s="21" t="n">
        <v>12006</v>
      </c>
      <c r="C20" s="21" t="n">
        <v>12006</v>
      </c>
      <c r="D20" s="22" t="n">
        <f aca="false">B20+C20</f>
        <v>24012</v>
      </c>
      <c r="E20" s="21"/>
      <c r="F20" s="21"/>
      <c r="G20" s="22" t="n">
        <f aca="false">E20+F20</f>
        <v>0</v>
      </c>
      <c r="H20" s="21"/>
      <c r="I20" s="21"/>
      <c r="J20" s="22" t="n">
        <f aca="false">H20+I20</f>
        <v>0</v>
      </c>
      <c r="K20" s="21"/>
      <c r="L20" s="21"/>
      <c r="M20" s="22" t="n">
        <f aca="false">K20+L20</f>
        <v>0</v>
      </c>
      <c r="N20" s="21"/>
      <c r="O20" s="21"/>
      <c r="P20" s="22" t="n">
        <f aca="false">N20+O20</f>
        <v>0</v>
      </c>
      <c r="Q20" s="21"/>
      <c r="R20" s="21"/>
      <c r="S20" s="22" t="n">
        <f aca="false">Q20+R20</f>
        <v>0</v>
      </c>
      <c r="T20" s="21"/>
      <c r="U20" s="21"/>
      <c r="V20" s="22" t="n">
        <f aca="false">T20+U20</f>
        <v>0</v>
      </c>
      <c r="W20" s="23" t="n">
        <f aca="false">B20+E20+H20+K20+N20+Q20+T20</f>
        <v>12006</v>
      </c>
      <c r="X20" s="24" t="n">
        <f aca="false">C20+F20+I20+L20+O20+R20+U20</f>
        <v>12006</v>
      </c>
      <c r="Y20" s="25" t="n">
        <f aca="false">W20+X20</f>
        <v>24012</v>
      </c>
    </row>
    <row r="21" customFormat="false" ht="15" hidden="false" customHeight="true" outlineLevel="0" collapsed="false">
      <c r="A21" s="20" t="s">
        <v>57</v>
      </c>
      <c r="B21" s="21"/>
      <c r="C21" s="21"/>
      <c r="D21" s="22" t="n">
        <f aca="false">B21+C21</f>
        <v>0</v>
      </c>
      <c r="E21" s="21"/>
      <c r="F21" s="21"/>
      <c r="G21" s="22" t="n">
        <f aca="false">E21+F21</f>
        <v>0</v>
      </c>
      <c r="H21" s="21"/>
      <c r="I21" s="21"/>
      <c r="J21" s="22" t="n">
        <f aca="false">H21+I21</f>
        <v>0</v>
      </c>
      <c r="K21" s="21"/>
      <c r="L21" s="21"/>
      <c r="M21" s="22" t="n">
        <f aca="false">K21+L21</f>
        <v>0</v>
      </c>
      <c r="N21" s="21"/>
      <c r="O21" s="21"/>
      <c r="P21" s="22" t="n">
        <f aca="false">N21+O21</f>
        <v>0</v>
      </c>
      <c r="Q21" s="21"/>
      <c r="R21" s="21"/>
      <c r="S21" s="22" t="n">
        <f aca="false">Q21+R21</f>
        <v>0</v>
      </c>
      <c r="T21" s="21" t="n">
        <v>10000</v>
      </c>
      <c r="U21" s="21"/>
      <c r="V21" s="22" t="n">
        <f aca="false">T21+U21</f>
        <v>10000</v>
      </c>
      <c r="W21" s="23" t="n">
        <f aca="false">B21+E21+H21+K21+N21+Q21+T21</f>
        <v>10000</v>
      </c>
      <c r="X21" s="24" t="n">
        <f aca="false">C21+F21+I21+L21+O21+R21+U21</f>
        <v>0</v>
      </c>
      <c r="Y21" s="25" t="n">
        <f aca="false">W21+X21</f>
        <v>10000</v>
      </c>
    </row>
    <row r="22" customFormat="false" ht="15" hidden="false" customHeight="true" outlineLevel="0" collapsed="false">
      <c r="A22" s="20" t="s">
        <v>58</v>
      </c>
      <c r="B22" s="21"/>
      <c r="C22" s="21"/>
      <c r="D22" s="22" t="n">
        <f aca="false">B22+C22</f>
        <v>0</v>
      </c>
      <c r="E22" s="21"/>
      <c r="F22" s="21"/>
      <c r="G22" s="22" t="n">
        <f aca="false">E22+F22</f>
        <v>0</v>
      </c>
      <c r="H22" s="21"/>
      <c r="I22" s="21"/>
      <c r="J22" s="22" t="n">
        <f aca="false">H22+I22</f>
        <v>0</v>
      </c>
      <c r="K22" s="21"/>
      <c r="L22" s="21"/>
      <c r="M22" s="22" t="n">
        <f aca="false">K22+L22</f>
        <v>0</v>
      </c>
      <c r="N22" s="21"/>
      <c r="O22" s="21"/>
      <c r="P22" s="22" t="n">
        <f aca="false">N22+O22</f>
        <v>0</v>
      </c>
      <c r="Q22" s="21" t="n">
        <v>7590.03</v>
      </c>
      <c r="R22" s="21" t="n">
        <v>7590.02</v>
      </c>
      <c r="S22" s="22" t="n">
        <f aca="false">Q22+R22</f>
        <v>15180.05</v>
      </c>
      <c r="T22" s="21"/>
      <c r="U22" s="21" t="n">
        <v>6050</v>
      </c>
      <c r="V22" s="22" t="n">
        <f aca="false">T22+U22</f>
        <v>6050</v>
      </c>
      <c r="W22" s="23" t="n">
        <f aca="false">B22+E22+H22+K22+N22+Q22+T22</f>
        <v>7590.03</v>
      </c>
      <c r="X22" s="24" t="n">
        <f aca="false">C22+F22+I22+L22+O22+R22+U22</f>
        <v>13640.02</v>
      </c>
      <c r="Y22" s="25" t="n">
        <f aca="false">W22+X22</f>
        <v>21230.05</v>
      </c>
    </row>
    <row r="23" customFormat="false" ht="15" hidden="false" customHeight="true" outlineLevel="0" collapsed="false">
      <c r="A23" s="20" t="s">
        <v>59</v>
      </c>
      <c r="B23" s="21"/>
      <c r="C23" s="21"/>
      <c r="D23" s="22" t="n">
        <f aca="false">B23+C23</f>
        <v>0</v>
      </c>
      <c r="E23" s="21"/>
      <c r="F23" s="21"/>
      <c r="G23" s="22" t="n">
        <f aca="false">E23+F23</f>
        <v>0</v>
      </c>
      <c r="H23" s="21"/>
      <c r="I23" s="21"/>
      <c r="J23" s="22" t="n">
        <f aca="false">H23+I23</f>
        <v>0</v>
      </c>
      <c r="K23" s="21"/>
      <c r="L23" s="21"/>
      <c r="M23" s="22" t="n">
        <f aca="false">K23+L23</f>
        <v>0</v>
      </c>
      <c r="N23" s="21"/>
      <c r="O23" s="21"/>
      <c r="P23" s="22" t="n">
        <f aca="false">N23+O23</f>
        <v>0</v>
      </c>
      <c r="Q23" s="21"/>
      <c r="R23" s="21"/>
      <c r="S23" s="22" t="n">
        <f aca="false">Q23+R23</f>
        <v>0</v>
      </c>
      <c r="T23" s="21" t="n">
        <v>7508.23</v>
      </c>
      <c r="U23" s="21"/>
      <c r="V23" s="22" t="n">
        <f aca="false">T23+U23</f>
        <v>7508.23</v>
      </c>
      <c r="W23" s="23" t="n">
        <f aca="false">B23+E23+H23+K23+N23+Q23+T23</f>
        <v>7508.23</v>
      </c>
      <c r="X23" s="24" t="n">
        <f aca="false">C23+F23+I23+L23+O23+R23+U23</f>
        <v>0</v>
      </c>
      <c r="Y23" s="25" t="n">
        <f aca="false">W23+X23</f>
        <v>7508.23</v>
      </c>
    </row>
    <row r="24" customFormat="false" ht="15" hidden="false" customHeight="true" outlineLevel="0" collapsed="false">
      <c r="A24" s="20" t="s">
        <v>60</v>
      </c>
      <c r="B24" s="21"/>
      <c r="C24" s="21"/>
      <c r="D24" s="22" t="n">
        <f aca="false">B24+C24</f>
        <v>0</v>
      </c>
      <c r="E24" s="21" t="n">
        <v>7308</v>
      </c>
      <c r="F24" s="21" t="n">
        <v>25000</v>
      </c>
      <c r="G24" s="22" t="n">
        <f aca="false">E24+F24</f>
        <v>32308</v>
      </c>
      <c r="H24" s="21"/>
      <c r="I24" s="21" t="n">
        <v>8526</v>
      </c>
      <c r="J24" s="22" t="n">
        <f aca="false">H24+I24</f>
        <v>8526</v>
      </c>
      <c r="K24" s="21"/>
      <c r="L24" s="21" t="n">
        <v>25578</v>
      </c>
      <c r="M24" s="22" t="n">
        <f aca="false">K24+L24</f>
        <v>25578</v>
      </c>
      <c r="N24" s="21"/>
      <c r="O24" s="21"/>
      <c r="P24" s="22" t="n">
        <f aca="false">N24+O24</f>
        <v>0</v>
      </c>
      <c r="Q24" s="21"/>
      <c r="R24" s="21" t="n">
        <v>6970</v>
      </c>
      <c r="S24" s="22" t="n">
        <f aca="false">Q24+R24</f>
        <v>6970</v>
      </c>
      <c r="T24" s="21"/>
      <c r="U24" s="21"/>
      <c r="V24" s="22" t="n">
        <f aca="false">T24+U24</f>
        <v>0</v>
      </c>
      <c r="W24" s="23" t="n">
        <f aca="false">B24+E24+H24+K24+N24+Q24+T24</f>
        <v>7308</v>
      </c>
      <c r="X24" s="24" t="n">
        <f aca="false">C24+F24+I24+L24+O24+R24+U24</f>
        <v>66074</v>
      </c>
      <c r="Y24" s="25" t="n">
        <f aca="false">W24+X24</f>
        <v>73382</v>
      </c>
    </row>
    <row r="25" customFormat="false" ht="15" hidden="false" customHeight="true" outlineLevel="0" collapsed="false">
      <c r="A25" s="20" t="s">
        <v>61</v>
      </c>
      <c r="B25" s="21"/>
      <c r="C25" s="21"/>
      <c r="D25" s="22" t="n">
        <f aca="false">B25+C25</f>
        <v>0</v>
      </c>
      <c r="E25" s="21"/>
      <c r="F25" s="21"/>
      <c r="G25" s="22" t="n">
        <f aca="false">E25+F25</f>
        <v>0</v>
      </c>
      <c r="H25" s="21"/>
      <c r="I25" s="21"/>
      <c r="J25" s="22" t="n">
        <f aca="false">H25+I25</f>
        <v>0</v>
      </c>
      <c r="K25" s="21"/>
      <c r="L25" s="21"/>
      <c r="M25" s="22" t="n">
        <f aca="false">K25+L25</f>
        <v>0</v>
      </c>
      <c r="N25" s="21"/>
      <c r="O25" s="21"/>
      <c r="P25" s="22" t="n">
        <f aca="false">N25+O25</f>
        <v>0</v>
      </c>
      <c r="Q25" s="21"/>
      <c r="R25" s="21"/>
      <c r="S25" s="22" t="n">
        <f aca="false">Q25+R25</f>
        <v>0</v>
      </c>
      <c r="T25" s="21"/>
      <c r="U25" s="21" t="n">
        <v>20000</v>
      </c>
      <c r="V25" s="22" t="n">
        <f aca="false">T25+U25</f>
        <v>20000</v>
      </c>
      <c r="W25" s="23" t="n">
        <f aca="false">B25+E25+H25+K25+N25+Q25+T25</f>
        <v>0</v>
      </c>
      <c r="X25" s="24" t="n">
        <f aca="false">C25+F25+I25+L25+O25+R25+U25</f>
        <v>20000</v>
      </c>
      <c r="Y25" s="25" t="n">
        <f aca="false">W25+X25</f>
        <v>20000</v>
      </c>
    </row>
    <row r="26" customFormat="false" ht="15" hidden="false" customHeight="true" outlineLevel="0" collapsed="false">
      <c r="A26" s="20" t="s">
        <v>62</v>
      </c>
      <c r="B26" s="21"/>
      <c r="C26" s="21" t="n">
        <v>40600</v>
      </c>
      <c r="D26" s="22" t="n">
        <f aca="false">B26+C26</f>
        <v>40600</v>
      </c>
      <c r="E26" s="21"/>
      <c r="F26" s="21" t="n">
        <v>217291.2</v>
      </c>
      <c r="G26" s="22" t="n">
        <f aca="false">E26+F26</f>
        <v>217291.2</v>
      </c>
      <c r="H26" s="21"/>
      <c r="I26" s="21"/>
      <c r="J26" s="22" t="n">
        <f aca="false">H26+I26</f>
        <v>0</v>
      </c>
      <c r="K26" s="21"/>
      <c r="L26" s="21"/>
      <c r="M26" s="22" t="n">
        <f aca="false">K26+L26</f>
        <v>0</v>
      </c>
      <c r="N26" s="21"/>
      <c r="O26" s="21"/>
      <c r="P26" s="22" t="n">
        <f aca="false">N26+O26</f>
        <v>0</v>
      </c>
      <c r="Q26" s="21"/>
      <c r="R26" s="21"/>
      <c r="S26" s="22" t="n">
        <f aca="false">Q26+R26</f>
        <v>0</v>
      </c>
      <c r="T26" s="21"/>
      <c r="U26" s="21"/>
      <c r="V26" s="22" t="n">
        <f aca="false">T26+U26</f>
        <v>0</v>
      </c>
      <c r="W26" s="23" t="n">
        <f aca="false">B26+E26+H26+K26+N26+Q26+T26</f>
        <v>0</v>
      </c>
      <c r="X26" s="24" t="n">
        <f aca="false">C26+F26+I26+L26+O26+R26+U26</f>
        <v>257891.2</v>
      </c>
      <c r="Y26" s="25" t="n">
        <f aca="false">W26+X26</f>
        <v>257891.2</v>
      </c>
    </row>
    <row r="27" customFormat="false" ht="15" hidden="false" customHeight="true" outlineLevel="0" collapsed="false">
      <c r="A27" s="20" t="s">
        <v>63</v>
      </c>
      <c r="B27" s="21"/>
      <c r="C27" s="21" t="n">
        <v>40000</v>
      </c>
      <c r="D27" s="22" t="n">
        <f aca="false">B27+C27</f>
        <v>40000</v>
      </c>
      <c r="E27" s="21"/>
      <c r="F27" s="21" t="n">
        <v>20000</v>
      </c>
      <c r="G27" s="22" t="n">
        <f aca="false">E27+F27</f>
        <v>20000</v>
      </c>
      <c r="H27" s="21"/>
      <c r="I27" s="21" t="n">
        <v>196991.2</v>
      </c>
      <c r="J27" s="22" t="n">
        <f aca="false">H27+I27</f>
        <v>196991.2</v>
      </c>
      <c r="K27" s="21"/>
      <c r="L27" s="21" t="n">
        <v>147743.4</v>
      </c>
      <c r="M27" s="22" t="n">
        <f aca="false">K27+L27</f>
        <v>147743.4</v>
      </c>
      <c r="N27" s="21"/>
      <c r="O27" s="21"/>
      <c r="P27" s="22" t="n">
        <f aca="false">N27+O27</f>
        <v>0</v>
      </c>
      <c r="Q27" s="21"/>
      <c r="R27" s="21"/>
      <c r="S27" s="22" t="n">
        <f aca="false">Q27+R27</f>
        <v>0</v>
      </c>
      <c r="T27" s="21"/>
      <c r="U27" s="21" t="n">
        <v>49247.8</v>
      </c>
      <c r="V27" s="22" t="n">
        <f aca="false">T27+U27</f>
        <v>49247.8</v>
      </c>
      <c r="W27" s="23" t="n">
        <f aca="false">B27+E27+H27+K27+N27+Q27+T27</f>
        <v>0</v>
      </c>
      <c r="X27" s="24" t="n">
        <f aca="false">C27+F27+I27+L27+O27+R27+U27</f>
        <v>453982.4</v>
      </c>
      <c r="Y27" s="25" t="n">
        <f aca="false">W27+X27</f>
        <v>453982.4</v>
      </c>
    </row>
    <row r="28" customFormat="false" ht="15" hidden="false" customHeight="true" outlineLevel="0" collapsed="false">
      <c r="A28" s="20" t="s">
        <v>64</v>
      </c>
      <c r="B28" s="21"/>
      <c r="C28" s="21"/>
      <c r="D28" s="22" t="n">
        <f aca="false">B28+C28</f>
        <v>0</v>
      </c>
      <c r="E28" s="21"/>
      <c r="F28" s="21"/>
      <c r="G28" s="22" t="n">
        <f aca="false">E28+F28</f>
        <v>0</v>
      </c>
      <c r="H28" s="21"/>
      <c r="I28" s="21" t="n">
        <v>9570</v>
      </c>
      <c r="J28" s="22" t="n">
        <f aca="false">H28+I28</f>
        <v>9570</v>
      </c>
      <c r="K28" s="21"/>
      <c r="L28" s="21"/>
      <c r="M28" s="22" t="n">
        <f aca="false">K28+L28</f>
        <v>0</v>
      </c>
      <c r="N28" s="21"/>
      <c r="O28" s="21"/>
      <c r="P28" s="22" t="n">
        <f aca="false">N28+O28</f>
        <v>0</v>
      </c>
      <c r="Q28" s="21"/>
      <c r="R28" s="21"/>
      <c r="S28" s="22" t="n">
        <f aca="false">Q28+R28</f>
        <v>0</v>
      </c>
      <c r="T28" s="21"/>
      <c r="U28" s="21"/>
      <c r="V28" s="22" t="n">
        <f aca="false">T28+U28</f>
        <v>0</v>
      </c>
      <c r="W28" s="23" t="n">
        <f aca="false">B28+E28+H28+K28+N28+Q28+T28</f>
        <v>0</v>
      </c>
      <c r="X28" s="24" t="n">
        <f aca="false">C28+F28+I28+L28+O28+R28+U28</f>
        <v>9570</v>
      </c>
      <c r="Y28" s="25" t="n">
        <f aca="false">W28+X28</f>
        <v>9570</v>
      </c>
    </row>
    <row r="29" customFormat="false" ht="16.5" hidden="false" customHeight="true" outlineLevel="0" collapsed="false">
      <c r="A29" s="26" t="s">
        <v>65</v>
      </c>
      <c r="B29" s="27" t="n">
        <f aca="false">SUM(B4:B28)</f>
        <v>650006</v>
      </c>
      <c r="C29" s="27" t="n">
        <f aca="false">SUM(C4:C28)</f>
        <v>238542</v>
      </c>
      <c r="D29" s="27" t="n">
        <f aca="false">SUM(D4:D28)</f>
        <v>888548</v>
      </c>
      <c r="E29" s="27" t="n">
        <f aca="false">SUM(E4:E28)</f>
        <v>972504.75</v>
      </c>
      <c r="F29" s="27" t="n">
        <f aca="false">SUM(F4:F28)</f>
        <v>518583.7</v>
      </c>
      <c r="G29" s="27" t="n">
        <f aca="false">SUM(G4:G28)</f>
        <v>1491088.45</v>
      </c>
      <c r="H29" s="27" t="n">
        <f aca="false">SUM(H4:H28)</f>
        <v>519300</v>
      </c>
      <c r="I29" s="27" t="n">
        <f aca="false">SUM(I4:I28)</f>
        <v>427925.48</v>
      </c>
      <c r="J29" s="27" t="n">
        <f aca="false">SUM(J4:J28)</f>
        <v>947225.48</v>
      </c>
      <c r="K29" s="27" t="n">
        <f aca="false">SUM(K4:K28)</f>
        <v>667778.29</v>
      </c>
      <c r="L29" s="27" t="n">
        <f aca="false">SUM(L4:L28)</f>
        <v>463426.2</v>
      </c>
      <c r="M29" s="27" t="n">
        <f aca="false">SUM(M4:M28)</f>
        <v>1131204.49</v>
      </c>
      <c r="N29" s="27" t="n">
        <f aca="false">SUM(N4:N28)</f>
        <v>614677.14</v>
      </c>
      <c r="O29" s="27" t="n">
        <f aca="false">SUM(O4:O28)</f>
        <v>366750</v>
      </c>
      <c r="P29" s="27" t="n">
        <f aca="false">SUM(P4:P28)</f>
        <v>981427.14</v>
      </c>
      <c r="Q29" s="27" t="n">
        <f aca="false">SUM(Q4:Q28)</f>
        <v>811856.43</v>
      </c>
      <c r="R29" s="27" t="n">
        <f aca="false">SUM(R4:R28)</f>
        <v>104560.02</v>
      </c>
      <c r="S29" s="27" t="n">
        <f aca="false">SUM(S4:S28)</f>
        <v>916416.45</v>
      </c>
      <c r="T29" s="27" t="n">
        <f aca="false">SUM(T4:T28)</f>
        <v>673111.09</v>
      </c>
      <c r="U29" s="27" t="n">
        <f aca="false">SUM(U4:U28)</f>
        <v>145297.8</v>
      </c>
      <c r="V29" s="27" t="n">
        <f aca="false">SUM(V4:V28)</f>
        <v>818408.89</v>
      </c>
      <c r="W29" s="27" t="n">
        <f aca="false">SUM(W4:W28)</f>
        <v>4909233.7</v>
      </c>
      <c r="X29" s="27" t="n">
        <f aca="false">SUM(X4:X28)</f>
        <v>2265085.2</v>
      </c>
      <c r="Y29" s="27" t="n">
        <f aca="false">SUM(Y4:Y28)</f>
        <v>7174318.9</v>
      </c>
    </row>
  </sheetData>
  <mergeCells count="9">
    <mergeCell ref="A1:Y1"/>
    <mergeCell ref="B2:D2"/>
    <mergeCell ref="E2:G2"/>
    <mergeCell ref="H2:J2"/>
    <mergeCell ref="K2:M2"/>
    <mergeCell ref="N2:P2"/>
    <mergeCell ref="Q2:S2"/>
    <mergeCell ref="T2:V2"/>
    <mergeCell ref="W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5" min="23" style="0" width="13"/>
  </cols>
  <sheetData>
    <row r="1" customFormat="false" ht="24" hidden="false" customHeight="true" outlineLevel="0" collapsed="false">
      <c r="A1" s="10" t="s">
        <v>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8" hidden="false" customHeight="true" outlineLevel="0" collapsed="false">
      <c r="A2" s="16" t="s">
        <v>38</v>
      </c>
      <c r="B2" s="17" t="s">
        <v>8</v>
      </c>
      <c r="C2" s="17"/>
      <c r="D2" s="17"/>
      <c r="E2" s="17" t="s">
        <v>9</v>
      </c>
      <c r="F2" s="17"/>
      <c r="G2" s="17"/>
      <c r="H2" s="17" t="s">
        <v>10</v>
      </c>
      <c r="I2" s="17"/>
      <c r="J2" s="17"/>
      <c r="K2" s="17" t="s">
        <v>11</v>
      </c>
      <c r="L2" s="17"/>
      <c r="M2" s="17"/>
      <c r="N2" s="17" t="s">
        <v>12</v>
      </c>
      <c r="O2" s="17"/>
      <c r="P2" s="17"/>
      <c r="Q2" s="17" t="s">
        <v>13</v>
      </c>
      <c r="R2" s="17"/>
      <c r="S2" s="17"/>
      <c r="T2" s="17" t="s">
        <v>14</v>
      </c>
      <c r="U2" s="17"/>
      <c r="V2" s="17"/>
      <c r="W2" s="17" t="s">
        <v>15</v>
      </c>
      <c r="X2" s="17"/>
      <c r="Y2" s="17"/>
    </row>
    <row r="3" customFormat="false" ht="15.75" hidden="false" customHeight="true" outlineLevel="0" collapsed="false">
      <c r="A3" s="18"/>
      <c r="B3" s="19" t="s">
        <v>39</v>
      </c>
      <c r="C3" s="19" t="s">
        <v>6</v>
      </c>
      <c r="D3" s="19" t="s">
        <v>19</v>
      </c>
      <c r="E3" s="19" t="s">
        <v>39</v>
      </c>
      <c r="F3" s="19" t="s">
        <v>6</v>
      </c>
      <c r="G3" s="19" t="s">
        <v>19</v>
      </c>
      <c r="H3" s="19" t="s">
        <v>39</v>
      </c>
      <c r="I3" s="19" t="s">
        <v>6</v>
      </c>
      <c r="J3" s="19" t="s">
        <v>19</v>
      </c>
      <c r="K3" s="19" t="s">
        <v>39</v>
      </c>
      <c r="L3" s="19" t="s">
        <v>6</v>
      </c>
      <c r="M3" s="19" t="s">
        <v>19</v>
      </c>
      <c r="N3" s="19" t="s">
        <v>39</v>
      </c>
      <c r="O3" s="19" t="s">
        <v>6</v>
      </c>
      <c r="P3" s="19" t="s">
        <v>19</v>
      </c>
      <c r="Q3" s="19" t="s">
        <v>39</v>
      </c>
      <c r="R3" s="19" t="s">
        <v>6</v>
      </c>
      <c r="S3" s="19" t="s">
        <v>19</v>
      </c>
      <c r="T3" s="19" t="s">
        <v>39</v>
      </c>
      <c r="U3" s="19" t="s">
        <v>6</v>
      </c>
      <c r="V3" s="19" t="s">
        <v>19</v>
      </c>
      <c r="W3" s="19" t="s">
        <v>39</v>
      </c>
      <c r="X3" s="19" t="s">
        <v>6</v>
      </c>
      <c r="Y3" s="19" t="s">
        <v>19</v>
      </c>
    </row>
    <row r="4" customFormat="false" ht="15" hidden="false" customHeight="true" outlineLevel="0" collapsed="false">
      <c r="A4" s="20" t="s">
        <v>67</v>
      </c>
      <c r="B4" s="21"/>
      <c r="C4" s="21"/>
      <c r="D4" s="22" t="n">
        <f aca="false">B4+C4</f>
        <v>0</v>
      </c>
      <c r="E4" s="21"/>
      <c r="F4" s="21"/>
      <c r="G4" s="22" t="n">
        <f aca="false">E4+F4</f>
        <v>0</v>
      </c>
      <c r="H4" s="21"/>
      <c r="I4" s="21"/>
      <c r="J4" s="22" t="n">
        <f aca="false">H4+I4</f>
        <v>0</v>
      </c>
      <c r="K4" s="21"/>
      <c r="L4" s="21"/>
      <c r="M4" s="22" t="n">
        <f aca="false">K4+L4</f>
        <v>0</v>
      </c>
      <c r="N4" s="21"/>
      <c r="O4" s="21"/>
      <c r="P4" s="22" t="n">
        <f aca="false">N4+O4</f>
        <v>0</v>
      </c>
      <c r="Q4" s="21"/>
      <c r="R4" s="21"/>
      <c r="S4" s="22" t="n">
        <f aca="false">Q4+R4</f>
        <v>0</v>
      </c>
      <c r="T4" s="21" t="n">
        <v>153555</v>
      </c>
      <c r="U4" s="21"/>
      <c r="V4" s="22" t="n">
        <f aca="false">T4+U4</f>
        <v>153555</v>
      </c>
      <c r="W4" s="23" t="n">
        <f aca="false">B4+E4+H4+K4+N4+Q4+T4</f>
        <v>153555</v>
      </c>
      <c r="X4" s="24" t="n">
        <f aca="false">C4+F4+I4+L4+O4+R4+U4</f>
        <v>0</v>
      </c>
      <c r="Y4" s="25" t="n">
        <f aca="false">W4+X4</f>
        <v>153555</v>
      </c>
    </row>
    <row r="5" customFormat="false" ht="15" hidden="false" customHeight="true" outlineLevel="0" collapsed="false">
      <c r="A5" s="20" t="s">
        <v>68</v>
      </c>
      <c r="B5" s="21"/>
      <c r="C5" s="21"/>
      <c r="D5" s="22" t="n">
        <f aca="false">B5+C5</f>
        <v>0</v>
      </c>
      <c r="E5" s="21"/>
      <c r="F5" s="21"/>
      <c r="G5" s="22" t="n">
        <f aca="false">E5+F5</f>
        <v>0</v>
      </c>
      <c r="H5" s="21" t="n">
        <v>9802</v>
      </c>
      <c r="I5" s="21"/>
      <c r="J5" s="22" t="n">
        <f aca="false">H5+I5</f>
        <v>9802</v>
      </c>
      <c r="K5" s="21" t="n">
        <v>19604</v>
      </c>
      <c r="L5" s="21" t="n">
        <v>9802</v>
      </c>
      <c r="M5" s="22" t="n">
        <f aca="false">K5+L5</f>
        <v>29406</v>
      </c>
      <c r="N5" s="21" t="n">
        <v>1896.6</v>
      </c>
      <c r="O5" s="21" t="n">
        <v>15549.8</v>
      </c>
      <c r="P5" s="22" t="n">
        <f aca="false">N5+O5</f>
        <v>17446.4</v>
      </c>
      <c r="Q5" s="21" t="n">
        <v>95845</v>
      </c>
      <c r="R5" s="21" t="n">
        <v>9135</v>
      </c>
      <c r="S5" s="22" t="n">
        <f aca="false">Q5+R5</f>
        <v>104980</v>
      </c>
      <c r="T5" s="21"/>
      <c r="U5" s="21"/>
      <c r="V5" s="22" t="n">
        <f aca="false">T5+U5</f>
        <v>0</v>
      </c>
      <c r="W5" s="23" t="n">
        <f aca="false">B5+E5+H5+K5+N5+Q5+T5</f>
        <v>127147.6</v>
      </c>
      <c r="X5" s="24" t="n">
        <f aca="false">C5+F5+I5+L5+O5+R5+U5</f>
        <v>34486.8</v>
      </c>
      <c r="Y5" s="25" t="n">
        <f aca="false">W5+X5</f>
        <v>161634.4</v>
      </c>
    </row>
    <row r="6" customFormat="false" ht="15" hidden="false" customHeight="true" outlineLevel="0" collapsed="false">
      <c r="A6" s="20" t="s">
        <v>69</v>
      </c>
      <c r="B6" s="21"/>
      <c r="C6" s="21"/>
      <c r="D6" s="22" t="n">
        <f aca="false">B6+C6</f>
        <v>0</v>
      </c>
      <c r="E6" s="21"/>
      <c r="F6" s="21"/>
      <c r="G6" s="22" t="n">
        <f aca="false">E6+F6</f>
        <v>0</v>
      </c>
      <c r="H6" s="21"/>
      <c r="I6" s="21"/>
      <c r="J6" s="22" t="n">
        <f aca="false">H6+I6</f>
        <v>0</v>
      </c>
      <c r="K6" s="21" t="n">
        <v>77328.91</v>
      </c>
      <c r="L6" s="21" t="n">
        <v>93280</v>
      </c>
      <c r="M6" s="22" t="n">
        <f aca="false">K6+L6</f>
        <v>170608.91</v>
      </c>
      <c r="N6" s="21" t="n">
        <v>20000</v>
      </c>
      <c r="O6" s="21" t="n">
        <v>241881.94</v>
      </c>
      <c r="P6" s="22" t="n">
        <f aca="false">N6+O6</f>
        <v>261881.94</v>
      </c>
      <c r="Q6" s="21"/>
      <c r="R6" s="21" t="n">
        <v>61642.4</v>
      </c>
      <c r="S6" s="22" t="n">
        <f aca="false">Q6+R6</f>
        <v>61642.4</v>
      </c>
      <c r="T6" s="21"/>
      <c r="U6" s="21"/>
      <c r="V6" s="22" t="n">
        <f aca="false">T6+U6</f>
        <v>0</v>
      </c>
      <c r="W6" s="23" t="n">
        <f aca="false">B6+E6+H6+K6+N6+Q6+T6</f>
        <v>97328.91</v>
      </c>
      <c r="X6" s="24" t="n">
        <f aca="false">C6+F6+I6+L6+O6+R6+U6</f>
        <v>396804.34</v>
      </c>
      <c r="Y6" s="25" t="n">
        <f aca="false">W6+X6</f>
        <v>494133.25</v>
      </c>
    </row>
    <row r="7" customFormat="false" ht="15" hidden="false" customHeight="true" outlineLevel="0" collapsed="false">
      <c r="A7" s="20" t="s">
        <v>70</v>
      </c>
      <c r="B7" s="21"/>
      <c r="C7" s="21"/>
      <c r="D7" s="22" t="n">
        <f aca="false">B7+C7</f>
        <v>0</v>
      </c>
      <c r="E7" s="21" t="n">
        <v>58812</v>
      </c>
      <c r="F7" s="21"/>
      <c r="G7" s="22" t="n">
        <f aca="false">E7+F7</f>
        <v>58812</v>
      </c>
      <c r="H7" s="21" t="n">
        <v>3897.6</v>
      </c>
      <c r="I7" s="21" t="n">
        <v>23144</v>
      </c>
      <c r="J7" s="22" t="n">
        <f aca="false">H7+I7</f>
        <v>27041.6</v>
      </c>
      <c r="K7" s="21"/>
      <c r="L7" s="21"/>
      <c r="M7" s="22" t="n">
        <f aca="false">K7+L7</f>
        <v>0</v>
      </c>
      <c r="N7" s="21"/>
      <c r="O7" s="21"/>
      <c r="P7" s="22" t="n">
        <f aca="false">N7+O7</f>
        <v>0</v>
      </c>
      <c r="Q7" s="21"/>
      <c r="R7" s="21"/>
      <c r="S7" s="22" t="n">
        <f aca="false">Q7+R7</f>
        <v>0</v>
      </c>
      <c r="T7" s="21"/>
      <c r="U7" s="21"/>
      <c r="V7" s="22" t="n">
        <f aca="false">T7+U7</f>
        <v>0</v>
      </c>
      <c r="W7" s="23" t="n">
        <f aca="false">B7+E7+H7+K7+N7+Q7+T7</f>
        <v>62709.6</v>
      </c>
      <c r="X7" s="24" t="n">
        <f aca="false">C7+F7+I7+L7+O7+R7+U7</f>
        <v>23144</v>
      </c>
      <c r="Y7" s="25" t="n">
        <f aca="false">W7+X7</f>
        <v>85853.6</v>
      </c>
    </row>
    <row r="8" customFormat="false" ht="15" hidden="false" customHeight="true" outlineLevel="0" collapsed="false">
      <c r="A8" s="20" t="s">
        <v>71</v>
      </c>
      <c r="B8" s="21"/>
      <c r="C8" s="21"/>
      <c r="D8" s="22" t="n">
        <f aca="false">B8+C8</f>
        <v>0</v>
      </c>
      <c r="E8" s="21"/>
      <c r="F8" s="21"/>
      <c r="G8" s="22" t="n">
        <f aca="false">E8+F8</f>
        <v>0</v>
      </c>
      <c r="H8" s="21"/>
      <c r="I8" s="21"/>
      <c r="J8" s="22" t="n">
        <f aca="false">H8+I8</f>
        <v>0</v>
      </c>
      <c r="K8" s="21"/>
      <c r="L8" s="21"/>
      <c r="M8" s="22" t="n">
        <f aca="false">K8+L8</f>
        <v>0</v>
      </c>
      <c r="N8" s="21"/>
      <c r="O8" s="21"/>
      <c r="P8" s="22" t="n">
        <f aca="false">N8+O8</f>
        <v>0</v>
      </c>
      <c r="Q8" s="21" t="n">
        <v>61642.4</v>
      </c>
      <c r="R8" s="21" t="n">
        <v>61642.4</v>
      </c>
      <c r="S8" s="22" t="n">
        <f aca="false">Q8+R8</f>
        <v>123284.8</v>
      </c>
      <c r="T8" s="21"/>
      <c r="U8" s="21"/>
      <c r="V8" s="22" t="n">
        <f aca="false">T8+U8</f>
        <v>0</v>
      </c>
      <c r="W8" s="23" t="n">
        <f aca="false">B8+E8+H8+K8+N8+Q8+T8</f>
        <v>61642.4</v>
      </c>
      <c r="X8" s="24" t="n">
        <f aca="false">C8+F8+I8+L8+O8+R8+U8</f>
        <v>61642.4</v>
      </c>
      <c r="Y8" s="25" t="n">
        <f aca="false">W8+X8</f>
        <v>123284.8</v>
      </c>
    </row>
    <row r="9" customFormat="false" ht="15" hidden="false" customHeight="true" outlineLevel="0" collapsed="false">
      <c r="A9" s="20" t="s">
        <v>72</v>
      </c>
      <c r="B9" s="21"/>
      <c r="C9" s="21"/>
      <c r="D9" s="22" t="n">
        <f aca="false">B9+C9</f>
        <v>0</v>
      </c>
      <c r="E9" s="21"/>
      <c r="F9" s="21"/>
      <c r="G9" s="22" t="n">
        <f aca="false">E9+F9</f>
        <v>0</v>
      </c>
      <c r="H9" s="21"/>
      <c r="I9" s="21"/>
      <c r="J9" s="22" t="n">
        <f aca="false">H9+I9</f>
        <v>0</v>
      </c>
      <c r="K9" s="21"/>
      <c r="L9" s="21"/>
      <c r="M9" s="22" t="n">
        <f aca="false">K9+L9</f>
        <v>0</v>
      </c>
      <c r="N9" s="21"/>
      <c r="O9" s="21" t="n">
        <v>15370</v>
      </c>
      <c r="P9" s="22" t="n">
        <f aca="false">N9+O9</f>
        <v>15370</v>
      </c>
      <c r="Q9" s="21" t="n">
        <v>15370</v>
      </c>
      <c r="R9" s="21" t="n">
        <v>61480</v>
      </c>
      <c r="S9" s="22" t="n">
        <f aca="false">Q9+R9</f>
        <v>76850</v>
      </c>
      <c r="T9" s="21" t="n">
        <v>30740</v>
      </c>
      <c r="U9" s="21" t="n">
        <v>76850</v>
      </c>
      <c r="V9" s="22" t="n">
        <f aca="false">T9+U9</f>
        <v>107590</v>
      </c>
      <c r="W9" s="23" t="n">
        <f aca="false">B9+E9+H9+K9+N9+Q9+T9</f>
        <v>46110</v>
      </c>
      <c r="X9" s="24" t="n">
        <f aca="false">C9+F9+I9+L9+O9+R9+U9</f>
        <v>153700</v>
      </c>
      <c r="Y9" s="25" t="n">
        <f aca="false">W9+X9</f>
        <v>199810</v>
      </c>
    </row>
    <row r="10" customFormat="false" ht="15" hidden="false" customHeight="true" outlineLevel="0" collapsed="false">
      <c r="A10" s="20" t="s">
        <v>73</v>
      </c>
      <c r="B10" s="21"/>
      <c r="C10" s="21"/>
      <c r="D10" s="22" t="n">
        <f aca="false">B10+C10</f>
        <v>0</v>
      </c>
      <c r="E10" s="21"/>
      <c r="F10" s="21"/>
      <c r="G10" s="22" t="n">
        <f aca="false">E10+F10</f>
        <v>0</v>
      </c>
      <c r="H10" s="21"/>
      <c r="I10" s="21" t="n">
        <v>8700</v>
      </c>
      <c r="J10" s="22" t="n">
        <f aca="false">H10+I10</f>
        <v>8700</v>
      </c>
      <c r="K10" s="21" t="n">
        <v>14500</v>
      </c>
      <c r="L10" s="21" t="n">
        <v>5800</v>
      </c>
      <c r="M10" s="22" t="n">
        <f aca="false">K10+L10</f>
        <v>20300</v>
      </c>
      <c r="N10" s="21"/>
      <c r="O10" s="21" t="n">
        <v>36250</v>
      </c>
      <c r="P10" s="22" t="n">
        <f aca="false">N10+O10</f>
        <v>36250</v>
      </c>
      <c r="Q10" s="21" t="n">
        <v>18000</v>
      </c>
      <c r="R10" s="21" t="n">
        <v>14500</v>
      </c>
      <c r="S10" s="22" t="n">
        <f aca="false">Q10+R10</f>
        <v>32500</v>
      </c>
      <c r="T10" s="21"/>
      <c r="U10" s="21"/>
      <c r="V10" s="22" t="n">
        <f aca="false">T10+U10</f>
        <v>0</v>
      </c>
      <c r="W10" s="23" t="n">
        <f aca="false">B10+E10+H10+K10+N10+Q10+T10</f>
        <v>32500</v>
      </c>
      <c r="X10" s="24" t="n">
        <f aca="false">C10+F10+I10+L10+O10+R10+U10</f>
        <v>65250</v>
      </c>
      <c r="Y10" s="25" t="n">
        <f aca="false">W10+X10</f>
        <v>97750</v>
      </c>
    </row>
    <row r="11" customFormat="false" ht="15" hidden="false" customHeight="true" outlineLevel="0" collapsed="false">
      <c r="A11" s="20" t="s">
        <v>74</v>
      </c>
      <c r="B11" s="21" t="n">
        <v>15000</v>
      </c>
      <c r="C11" s="21"/>
      <c r="D11" s="22" t="n">
        <f aca="false">B11+C11</f>
        <v>15000</v>
      </c>
      <c r="E11" s="21" t="n">
        <v>12000</v>
      </c>
      <c r="F11" s="21" t="n">
        <v>24000</v>
      </c>
      <c r="G11" s="22" t="n">
        <f aca="false">E11+F11</f>
        <v>36000</v>
      </c>
      <c r="H11" s="21"/>
      <c r="I11" s="21" t="n">
        <v>35178</v>
      </c>
      <c r="J11" s="22" t="n">
        <f aca="false">H11+I11</f>
        <v>35178</v>
      </c>
      <c r="K11" s="21"/>
      <c r="L11" s="21" t="n">
        <v>70356</v>
      </c>
      <c r="M11" s="22" t="n">
        <f aca="false">K11+L11</f>
        <v>70356</v>
      </c>
      <c r="N11" s="21"/>
      <c r="O11" s="21"/>
      <c r="P11" s="22" t="n">
        <f aca="false">N11+O11</f>
        <v>0</v>
      </c>
      <c r="Q11" s="21"/>
      <c r="R11" s="21"/>
      <c r="S11" s="22" t="n">
        <f aca="false">Q11+R11</f>
        <v>0</v>
      </c>
      <c r="T11" s="21"/>
      <c r="U11" s="21"/>
      <c r="V11" s="22" t="n">
        <f aca="false">T11+U11</f>
        <v>0</v>
      </c>
      <c r="W11" s="23" t="n">
        <f aca="false">B11+E11+H11+K11+N11+Q11+T11</f>
        <v>27000</v>
      </c>
      <c r="X11" s="24" t="n">
        <f aca="false">C11+F11+I11+L11+O11+R11+U11</f>
        <v>129534</v>
      </c>
      <c r="Y11" s="25" t="n">
        <f aca="false">W11+X11</f>
        <v>156534</v>
      </c>
    </row>
    <row r="12" customFormat="false" ht="15" hidden="false" customHeight="true" outlineLevel="0" collapsed="false">
      <c r="A12" s="20" t="s">
        <v>75</v>
      </c>
      <c r="B12" s="21"/>
      <c r="C12" s="21"/>
      <c r="D12" s="22" t="n">
        <f aca="false">B12+C12</f>
        <v>0</v>
      </c>
      <c r="E12" s="21"/>
      <c r="F12" s="21"/>
      <c r="G12" s="22" t="n">
        <f aca="false">E12+F12</f>
        <v>0</v>
      </c>
      <c r="H12" s="21" t="n">
        <v>16800</v>
      </c>
      <c r="I12" s="21"/>
      <c r="J12" s="22" t="n">
        <f aca="false">H12+I12</f>
        <v>16800</v>
      </c>
      <c r="K12" s="21"/>
      <c r="L12" s="21"/>
      <c r="M12" s="22" t="n">
        <f aca="false">K12+L12</f>
        <v>0</v>
      </c>
      <c r="N12" s="21"/>
      <c r="O12" s="21"/>
      <c r="P12" s="22" t="n">
        <f aca="false">N12+O12</f>
        <v>0</v>
      </c>
      <c r="Q12" s="21"/>
      <c r="R12" s="21"/>
      <c r="S12" s="22" t="n">
        <f aca="false">Q12+R12</f>
        <v>0</v>
      </c>
      <c r="T12" s="21"/>
      <c r="U12" s="21"/>
      <c r="V12" s="22" t="n">
        <f aca="false">T12+U12</f>
        <v>0</v>
      </c>
      <c r="W12" s="23" t="n">
        <f aca="false">B12+E12+H12+K12+N12+Q12+T12</f>
        <v>16800</v>
      </c>
      <c r="X12" s="24" t="n">
        <f aca="false">C12+F12+I12+L12+O12+R12+U12</f>
        <v>0</v>
      </c>
      <c r="Y12" s="25" t="n">
        <f aca="false">W12+X12</f>
        <v>16800</v>
      </c>
    </row>
    <row r="13" customFormat="false" ht="15" hidden="false" customHeight="true" outlineLevel="0" collapsed="false">
      <c r="A13" s="20" t="s">
        <v>76</v>
      </c>
      <c r="B13" s="21"/>
      <c r="C13" s="21"/>
      <c r="D13" s="22" t="n">
        <f aca="false">B13+C13</f>
        <v>0</v>
      </c>
      <c r="E13" s="21" t="n">
        <v>5000</v>
      </c>
      <c r="F13" s="21"/>
      <c r="G13" s="22" t="n">
        <f aca="false">E13+F13</f>
        <v>5000</v>
      </c>
      <c r="H13" s="21"/>
      <c r="I13" s="21" t="n">
        <v>2987</v>
      </c>
      <c r="J13" s="22" t="n">
        <f aca="false">H13+I13</f>
        <v>2987</v>
      </c>
      <c r="K13" s="21" t="n">
        <v>9856.45</v>
      </c>
      <c r="L13" s="21"/>
      <c r="M13" s="22" t="n">
        <f aca="false">K13+L13</f>
        <v>9856.45</v>
      </c>
      <c r="N13" s="21"/>
      <c r="O13" s="21"/>
      <c r="P13" s="22" t="n">
        <f aca="false">N13+O13</f>
        <v>0</v>
      </c>
      <c r="Q13" s="21"/>
      <c r="R13" s="21"/>
      <c r="S13" s="22" t="n">
        <f aca="false">Q13+R13</f>
        <v>0</v>
      </c>
      <c r="T13" s="21"/>
      <c r="U13" s="21"/>
      <c r="V13" s="22" t="n">
        <f aca="false">T13+U13</f>
        <v>0</v>
      </c>
      <c r="W13" s="23" t="n">
        <f aca="false">B13+E13+H13+K13+N13+Q13+T13</f>
        <v>14856.45</v>
      </c>
      <c r="X13" s="24" t="n">
        <f aca="false">C13+F13+I13+L13+O13+R13+U13</f>
        <v>2987</v>
      </c>
      <c r="Y13" s="25" t="n">
        <f aca="false">W13+X13</f>
        <v>17843.45</v>
      </c>
    </row>
    <row r="14" customFormat="false" ht="15" hidden="false" customHeight="true" outlineLevel="0" collapsed="false">
      <c r="A14" s="20" t="s">
        <v>77</v>
      </c>
      <c r="B14" s="21"/>
      <c r="C14" s="21"/>
      <c r="D14" s="22" t="n">
        <f aca="false">B14+C14</f>
        <v>0</v>
      </c>
      <c r="E14" s="21"/>
      <c r="F14" s="21"/>
      <c r="G14" s="22" t="n">
        <f aca="false">E14+F14</f>
        <v>0</v>
      </c>
      <c r="H14" s="21"/>
      <c r="I14" s="21"/>
      <c r="J14" s="22" t="n">
        <f aca="false">H14+I14</f>
        <v>0</v>
      </c>
      <c r="K14" s="21"/>
      <c r="L14" s="21"/>
      <c r="M14" s="22" t="n">
        <f aca="false">K14+L14</f>
        <v>0</v>
      </c>
      <c r="N14" s="21" t="n">
        <v>1493.5</v>
      </c>
      <c r="O14" s="21" t="n">
        <v>23896</v>
      </c>
      <c r="P14" s="22" t="n">
        <f aca="false">N14+O14</f>
        <v>25389.5</v>
      </c>
      <c r="Q14" s="21" t="n">
        <v>13310.12</v>
      </c>
      <c r="R14" s="21"/>
      <c r="S14" s="22" t="n">
        <f aca="false">Q14+R14</f>
        <v>13310.12</v>
      </c>
      <c r="T14" s="21"/>
      <c r="U14" s="21"/>
      <c r="V14" s="22" t="n">
        <f aca="false">T14+U14</f>
        <v>0</v>
      </c>
      <c r="W14" s="23" t="n">
        <f aca="false">B14+E14+H14+K14+N14+Q14+T14</f>
        <v>14803.62</v>
      </c>
      <c r="X14" s="24" t="n">
        <f aca="false">C14+F14+I14+L14+O14+R14+U14</f>
        <v>23896</v>
      </c>
      <c r="Y14" s="25" t="n">
        <f aca="false">W14+X14</f>
        <v>38699.62</v>
      </c>
    </row>
    <row r="15" customFormat="false" ht="15" hidden="false" customHeight="true" outlineLevel="0" collapsed="false">
      <c r="A15" s="20" t="s">
        <v>78</v>
      </c>
      <c r="B15" s="21"/>
      <c r="C15" s="21"/>
      <c r="D15" s="22" t="n">
        <f aca="false">B15+C15</f>
        <v>0</v>
      </c>
      <c r="E15" s="21"/>
      <c r="F15" s="21"/>
      <c r="G15" s="22" t="n">
        <f aca="false">E15+F15</f>
        <v>0</v>
      </c>
      <c r="H15" s="21"/>
      <c r="I15" s="21"/>
      <c r="J15" s="22" t="n">
        <f aca="false">H15+I15</f>
        <v>0</v>
      </c>
      <c r="K15" s="21" t="n">
        <v>2728.32</v>
      </c>
      <c r="L15" s="21"/>
      <c r="M15" s="22" t="n">
        <f aca="false">K15+L15</f>
        <v>2728.32</v>
      </c>
      <c r="N15" s="21" t="n">
        <v>3410</v>
      </c>
      <c r="O15" s="21"/>
      <c r="P15" s="22" t="n">
        <f aca="false">N15+O15</f>
        <v>3410</v>
      </c>
      <c r="Q15" s="21" t="n">
        <v>3970.21</v>
      </c>
      <c r="R15" s="21" t="n">
        <v>7940.42</v>
      </c>
      <c r="S15" s="22" t="n">
        <f aca="false">Q15+R15</f>
        <v>11910.63</v>
      </c>
      <c r="T15" s="21" t="n">
        <v>4235.94</v>
      </c>
      <c r="U15" s="21" t="n">
        <v>24389.07</v>
      </c>
      <c r="V15" s="22" t="n">
        <f aca="false">T15+U15</f>
        <v>28625.01</v>
      </c>
      <c r="W15" s="23" t="n">
        <f aca="false">B15+E15+H15+K15+N15+Q15+T15</f>
        <v>14344.47</v>
      </c>
      <c r="X15" s="24" t="n">
        <f aca="false">C15+F15+I15+L15+O15+R15+U15</f>
        <v>32329.49</v>
      </c>
      <c r="Y15" s="25" t="n">
        <f aca="false">W15+X15</f>
        <v>46673.96</v>
      </c>
    </row>
    <row r="16" customFormat="false" ht="15" hidden="false" customHeight="true" outlineLevel="0" collapsed="false">
      <c r="A16" s="20" t="s">
        <v>79</v>
      </c>
      <c r="B16" s="21"/>
      <c r="C16" s="21"/>
      <c r="D16" s="22" t="n">
        <f aca="false">B16+C16</f>
        <v>0</v>
      </c>
      <c r="E16" s="21"/>
      <c r="F16" s="21"/>
      <c r="G16" s="22" t="n">
        <f aca="false">E16+F16</f>
        <v>0</v>
      </c>
      <c r="H16" s="21"/>
      <c r="I16" s="21"/>
      <c r="J16" s="22" t="n">
        <f aca="false">H16+I16</f>
        <v>0</v>
      </c>
      <c r="K16" s="21"/>
      <c r="L16" s="21"/>
      <c r="M16" s="22" t="n">
        <f aca="false">K16+L16</f>
        <v>0</v>
      </c>
      <c r="N16" s="21"/>
      <c r="O16" s="21"/>
      <c r="P16" s="22" t="n">
        <f aca="false">N16+O16</f>
        <v>0</v>
      </c>
      <c r="Q16" s="21" t="n">
        <v>7222</v>
      </c>
      <c r="R16" s="21"/>
      <c r="S16" s="22" t="n">
        <f aca="false">Q16+R16</f>
        <v>7222</v>
      </c>
      <c r="T16" s="21" t="n">
        <v>6666.98</v>
      </c>
      <c r="U16" s="21"/>
      <c r="V16" s="22" t="n">
        <f aca="false">T16+U16</f>
        <v>6666.98</v>
      </c>
      <c r="W16" s="23" t="n">
        <f aca="false">B16+E16+H16+K16+N16+Q16+T16</f>
        <v>13888.98</v>
      </c>
      <c r="X16" s="24" t="n">
        <f aca="false">C16+F16+I16+L16+O16+R16+U16</f>
        <v>0</v>
      </c>
      <c r="Y16" s="25" t="n">
        <f aca="false">W16+X16</f>
        <v>13888.98</v>
      </c>
    </row>
    <row r="17" customFormat="false" ht="15" hidden="false" customHeight="true" outlineLevel="0" collapsed="false">
      <c r="A17" s="20" t="s">
        <v>80</v>
      </c>
      <c r="B17" s="21"/>
      <c r="C17" s="21"/>
      <c r="D17" s="22" t="n">
        <f aca="false">B17+C17</f>
        <v>0</v>
      </c>
      <c r="E17" s="21"/>
      <c r="F17" s="21"/>
      <c r="G17" s="22" t="n">
        <f aca="false">E17+F17</f>
        <v>0</v>
      </c>
      <c r="H17" s="21"/>
      <c r="I17" s="21"/>
      <c r="J17" s="22" t="n">
        <f aca="false">H17+I17</f>
        <v>0</v>
      </c>
      <c r="K17" s="21"/>
      <c r="L17" s="21"/>
      <c r="M17" s="22" t="n">
        <f aca="false">K17+L17</f>
        <v>0</v>
      </c>
      <c r="N17" s="21"/>
      <c r="O17" s="21"/>
      <c r="P17" s="22" t="n">
        <f aca="false">N17+O17</f>
        <v>0</v>
      </c>
      <c r="Q17" s="21" t="n">
        <v>10788</v>
      </c>
      <c r="R17" s="21"/>
      <c r="S17" s="22" t="n">
        <f aca="false">Q17+R17</f>
        <v>10788</v>
      </c>
      <c r="T17" s="21"/>
      <c r="U17" s="21"/>
      <c r="V17" s="22" t="n">
        <f aca="false">T17+U17</f>
        <v>0</v>
      </c>
      <c r="W17" s="23" t="n">
        <f aca="false">B17+E17+H17+K17+N17+Q17+T17</f>
        <v>10788</v>
      </c>
      <c r="X17" s="24" t="n">
        <f aca="false">C17+F17+I17+L17+O17+R17+U17</f>
        <v>0</v>
      </c>
      <c r="Y17" s="25" t="n">
        <f aca="false">W17+X17</f>
        <v>10788</v>
      </c>
    </row>
    <row r="18" customFormat="false" ht="15" hidden="false" customHeight="true" outlineLevel="0" collapsed="false">
      <c r="A18" s="20" t="s">
        <v>81</v>
      </c>
      <c r="B18" s="21"/>
      <c r="C18" s="21" t="n">
        <v>16240</v>
      </c>
      <c r="D18" s="22" t="n">
        <f aca="false">B18+C18</f>
        <v>16240</v>
      </c>
      <c r="E18" s="21" t="n">
        <v>8120</v>
      </c>
      <c r="F18" s="21"/>
      <c r="G18" s="22" t="n">
        <f aca="false">E18+F18</f>
        <v>8120</v>
      </c>
      <c r="H18" s="21"/>
      <c r="I18" s="21" t="n">
        <v>31900</v>
      </c>
      <c r="J18" s="22" t="n">
        <f aca="false">H18+I18</f>
        <v>31900</v>
      </c>
      <c r="K18" s="21"/>
      <c r="L18" s="21"/>
      <c r="M18" s="22" t="n">
        <f aca="false">K18+L18</f>
        <v>0</v>
      </c>
      <c r="N18" s="21"/>
      <c r="O18" s="21"/>
      <c r="P18" s="22" t="n">
        <f aca="false">N18+O18</f>
        <v>0</v>
      </c>
      <c r="Q18" s="21"/>
      <c r="R18" s="21"/>
      <c r="S18" s="22" t="n">
        <f aca="false">Q18+R18</f>
        <v>0</v>
      </c>
      <c r="T18" s="21"/>
      <c r="U18" s="21"/>
      <c r="V18" s="22" t="n">
        <f aca="false">T18+U18</f>
        <v>0</v>
      </c>
      <c r="W18" s="23" t="n">
        <f aca="false">B18+E18+H18+K18+N18+Q18+T18</f>
        <v>8120</v>
      </c>
      <c r="X18" s="24" t="n">
        <f aca="false">C18+F18+I18+L18+O18+R18+U18</f>
        <v>48140</v>
      </c>
      <c r="Y18" s="25" t="n">
        <f aca="false">W18+X18</f>
        <v>56260</v>
      </c>
    </row>
    <row r="19" customFormat="false" ht="15" hidden="false" customHeight="true" outlineLevel="0" collapsed="false">
      <c r="A19" s="20" t="s">
        <v>82</v>
      </c>
      <c r="B19" s="21"/>
      <c r="C19" s="21"/>
      <c r="D19" s="22" t="n">
        <f aca="false">B19+C19</f>
        <v>0</v>
      </c>
      <c r="E19" s="21" t="n">
        <v>8000</v>
      </c>
      <c r="F19" s="21" t="n">
        <v>30050</v>
      </c>
      <c r="G19" s="22" t="n">
        <f aca="false">E19+F19</f>
        <v>38050</v>
      </c>
      <c r="H19" s="21"/>
      <c r="I19" s="21"/>
      <c r="J19" s="22" t="n">
        <f aca="false">H19+I19</f>
        <v>0</v>
      </c>
      <c r="K19" s="21"/>
      <c r="L19" s="21"/>
      <c r="M19" s="22" t="n">
        <f aca="false">K19+L19</f>
        <v>0</v>
      </c>
      <c r="N19" s="21"/>
      <c r="O19" s="21"/>
      <c r="P19" s="22" t="n">
        <f aca="false">N19+O19</f>
        <v>0</v>
      </c>
      <c r="Q19" s="21"/>
      <c r="R19" s="21"/>
      <c r="S19" s="22" t="n">
        <f aca="false">Q19+R19</f>
        <v>0</v>
      </c>
      <c r="T19" s="21"/>
      <c r="U19" s="21"/>
      <c r="V19" s="22" t="n">
        <f aca="false">T19+U19</f>
        <v>0</v>
      </c>
      <c r="W19" s="23" t="n">
        <f aca="false">B19+E19+H19+K19+N19+Q19+T19</f>
        <v>8000</v>
      </c>
      <c r="X19" s="24" t="n">
        <f aca="false">C19+F19+I19+L19+O19+R19+U19</f>
        <v>30050</v>
      </c>
      <c r="Y19" s="25" t="n">
        <f aca="false">W19+X19</f>
        <v>38050</v>
      </c>
    </row>
    <row r="20" customFormat="false" ht="15" hidden="false" customHeight="true" outlineLevel="0" collapsed="false">
      <c r="A20" s="20" t="s">
        <v>83</v>
      </c>
      <c r="B20" s="21"/>
      <c r="C20" s="21"/>
      <c r="D20" s="22" t="n">
        <f aca="false">B20+C20</f>
        <v>0</v>
      </c>
      <c r="E20" s="21"/>
      <c r="F20" s="21"/>
      <c r="G20" s="22" t="n">
        <f aca="false">E20+F20</f>
        <v>0</v>
      </c>
      <c r="H20" s="21"/>
      <c r="I20" s="21"/>
      <c r="J20" s="22" t="n">
        <f aca="false">H20+I20</f>
        <v>0</v>
      </c>
      <c r="K20" s="21"/>
      <c r="L20" s="21"/>
      <c r="M20" s="22" t="n">
        <f aca="false">K20+L20</f>
        <v>0</v>
      </c>
      <c r="N20" s="21"/>
      <c r="O20" s="21"/>
      <c r="P20" s="22" t="n">
        <f aca="false">N20+O20</f>
        <v>0</v>
      </c>
      <c r="Q20" s="21"/>
      <c r="R20" s="21"/>
      <c r="S20" s="22" t="n">
        <f aca="false">Q20+R20</f>
        <v>0</v>
      </c>
      <c r="T20" s="21" t="n">
        <v>7192</v>
      </c>
      <c r="U20" s="21"/>
      <c r="V20" s="22" t="n">
        <f aca="false">T20+U20</f>
        <v>7192</v>
      </c>
      <c r="W20" s="23" t="n">
        <f aca="false">B20+E20+H20+K20+N20+Q20+T20</f>
        <v>7192</v>
      </c>
      <c r="X20" s="24" t="n">
        <f aca="false">C20+F20+I20+L20+O20+R20+U20</f>
        <v>0</v>
      </c>
      <c r="Y20" s="25" t="n">
        <f aca="false">W20+X20</f>
        <v>7192</v>
      </c>
    </row>
    <row r="21" customFormat="false" ht="15" hidden="false" customHeight="true" outlineLevel="0" collapsed="false">
      <c r="A21" s="20" t="s">
        <v>84</v>
      </c>
      <c r="B21" s="21"/>
      <c r="C21" s="21"/>
      <c r="D21" s="22" t="n">
        <f aca="false">B21+C21</f>
        <v>0</v>
      </c>
      <c r="E21" s="21"/>
      <c r="F21" s="21"/>
      <c r="G21" s="22" t="n">
        <f aca="false">E21+F21</f>
        <v>0</v>
      </c>
      <c r="H21" s="21"/>
      <c r="I21" s="21"/>
      <c r="J21" s="22" t="n">
        <f aca="false">H21+I21</f>
        <v>0</v>
      </c>
      <c r="K21" s="21"/>
      <c r="L21" s="21"/>
      <c r="M21" s="22" t="n">
        <f aca="false">K21+L21</f>
        <v>0</v>
      </c>
      <c r="N21" s="21"/>
      <c r="O21" s="21"/>
      <c r="P21" s="22" t="n">
        <f aca="false">N21+O21</f>
        <v>0</v>
      </c>
      <c r="Q21" s="21"/>
      <c r="R21" s="21"/>
      <c r="S21" s="22" t="n">
        <f aca="false">Q21+R21</f>
        <v>0</v>
      </c>
      <c r="T21" s="21" t="n">
        <v>7134</v>
      </c>
      <c r="U21" s="21"/>
      <c r="V21" s="22" t="n">
        <f aca="false">T21+U21</f>
        <v>7134</v>
      </c>
      <c r="W21" s="23" t="n">
        <f aca="false">B21+E21+H21+K21+N21+Q21+T21</f>
        <v>7134</v>
      </c>
      <c r="X21" s="24" t="n">
        <f aca="false">C21+F21+I21+L21+O21+R21+U21</f>
        <v>0</v>
      </c>
      <c r="Y21" s="25" t="n">
        <f aca="false">W21+X21</f>
        <v>7134</v>
      </c>
    </row>
    <row r="22" customFormat="false" ht="15" hidden="false" customHeight="true" outlineLevel="0" collapsed="false">
      <c r="A22" s="20" t="s">
        <v>85</v>
      </c>
      <c r="B22" s="21"/>
      <c r="C22" s="21"/>
      <c r="D22" s="22" t="n">
        <f aca="false">B22+C22</f>
        <v>0</v>
      </c>
      <c r="E22" s="21"/>
      <c r="F22" s="21"/>
      <c r="G22" s="22" t="n">
        <f aca="false">E22+F22</f>
        <v>0</v>
      </c>
      <c r="H22" s="21"/>
      <c r="I22" s="21"/>
      <c r="J22" s="22" t="n">
        <f aca="false">H22+I22</f>
        <v>0</v>
      </c>
      <c r="K22" s="21"/>
      <c r="L22" s="21"/>
      <c r="M22" s="22" t="n">
        <f aca="false">K22+L22</f>
        <v>0</v>
      </c>
      <c r="N22" s="21"/>
      <c r="O22" s="21"/>
      <c r="P22" s="22" t="n">
        <f aca="false">N22+O22</f>
        <v>0</v>
      </c>
      <c r="Q22" s="21"/>
      <c r="R22" s="21"/>
      <c r="S22" s="22" t="n">
        <f aca="false">Q22+R22</f>
        <v>0</v>
      </c>
      <c r="T22" s="21" t="n">
        <v>4172.11</v>
      </c>
      <c r="U22" s="21" t="n">
        <v>7193.3</v>
      </c>
      <c r="V22" s="22" t="n">
        <f aca="false">T22+U22</f>
        <v>11365.41</v>
      </c>
      <c r="W22" s="23" t="n">
        <f aca="false">B22+E22+H22+K22+N22+Q22+T22</f>
        <v>4172.11</v>
      </c>
      <c r="X22" s="24" t="n">
        <f aca="false">C22+F22+I22+L22+O22+R22+U22</f>
        <v>7193.3</v>
      </c>
      <c r="Y22" s="25" t="n">
        <f aca="false">W22+X22</f>
        <v>11365.41</v>
      </c>
    </row>
    <row r="23" customFormat="false" ht="15" hidden="false" customHeight="true" outlineLevel="0" collapsed="false">
      <c r="A23" s="20" t="s">
        <v>86</v>
      </c>
      <c r="B23" s="21"/>
      <c r="C23" s="21"/>
      <c r="D23" s="22" t="n">
        <f aca="false">B23+C23</f>
        <v>0</v>
      </c>
      <c r="E23" s="21"/>
      <c r="F23" s="21"/>
      <c r="G23" s="22" t="n">
        <f aca="false">E23+F23</f>
        <v>0</v>
      </c>
      <c r="H23" s="21" t="n">
        <v>3981.94</v>
      </c>
      <c r="I23" s="21"/>
      <c r="J23" s="22" t="n">
        <f aca="false">H23+I23</f>
        <v>3981.94</v>
      </c>
      <c r="K23" s="21"/>
      <c r="L23" s="21"/>
      <c r="M23" s="22" t="n">
        <f aca="false">K23+L23</f>
        <v>0</v>
      </c>
      <c r="N23" s="21"/>
      <c r="O23" s="21"/>
      <c r="P23" s="22" t="n">
        <f aca="false">N23+O23</f>
        <v>0</v>
      </c>
      <c r="Q23" s="21"/>
      <c r="R23" s="21"/>
      <c r="S23" s="22" t="n">
        <f aca="false">Q23+R23</f>
        <v>0</v>
      </c>
      <c r="T23" s="21"/>
      <c r="U23" s="21"/>
      <c r="V23" s="22" t="n">
        <f aca="false">T23+U23</f>
        <v>0</v>
      </c>
      <c r="W23" s="23" t="n">
        <f aca="false">B23+E23+H23+K23+N23+Q23+T23</f>
        <v>3981.94</v>
      </c>
      <c r="X23" s="24" t="n">
        <f aca="false">C23+F23+I23+L23+O23+R23+U23</f>
        <v>0</v>
      </c>
      <c r="Y23" s="25" t="n">
        <f aca="false">W23+X23</f>
        <v>3981.94</v>
      </c>
    </row>
    <row r="24" customFormat="false" ht="15" hidden="false" customHeight="true" outlineLevel="0" collapsed="false">
      <c r="A24" s="20" t="s">
        <v>87</v>
      </c>
      <c r="B24" s="21"/>
      <c r="C24" s="21"/>
      <c r="D24" s="22" t="n">
        <f aca="false">B24+C24</f>
        <v>0</v>
      </c>
      <c r="E24" s="21" t="n">
        <v>3648.39</v>
      </c>
      <c r="F24" s="21"/>
      <c r="G24" s="22" t="n">
        <f aca="false">E24+F24</f>
        <v>3648.39</v>
      </c>
      <c r="H24" s="21"/>
      <c r="I24" s="21"/>
      <c r="J24" s="22" t="n">
        <f aca="false">H24+I24</f>
        <v>0</v>
      </c>
      <c r="K24" s="21"/>
      <c r="L24" s="21"/>
      <c r="M24" s="22" t="n">
        <f aca="false">K24+L24</f>
        <v>0</v>
      </c>
      <c r="N24" s="21"/>
      <c r="O24" s="21"/>
      <c r="P24" s="22" t="n">
        <f aca="false">N24+O24</f>
        <v>0</v>
      </c>
      <c r="Q24" s="21"/>
      <c r="R24" s="21"/>
      <c r="S24" s="22" t="n">
        <f aca="false">Q24+R24</f>
        <v>0</v>
      </c>
      <c r="T24" s="21"/>
      <c r="U24" s="21"/>
      <c r="V24" s="22" t="n">
        <f aca="false">T24+U24</f>
        <v>0</v>
      </c>
      <c r="W24" s="23" t="n">
        <f aca="false">B24+E24+H24+K24+N24+Q24+T24</f>
        <v>3648.39</v>
      </c>
      <c r="X24" s="24" t="n">
        <f aca="false">C24+F24+I24+L24+O24+R24+U24</f>
        <v>0</v>
      </c>
      <c r="Y24" s="25" t="n">
        <f aca="false">W24+X24</f>
        <v>3648.39</v>
      </c>
    </row>
    <row r="25" customFormat="false" ht="15" hidden="false" customHeight="true" outlineLevel="0" collapsed="false">
      <c r="A25" s="20" t="s">
        <v>88</v>
      </c>
      <c r="B25" s="21"/>
      <c r="C25" s="21"/>
      <c r="D25" s="22" t="n">
        <f aca="false">B25+C25</f>
        <v>0</v>
      </c>
      <c r="E25" s="21"/>
      <c r="F25" s="21"/>
      <c r="G25" s="22" t="n">
        <f aca="false">E25+F25</f>
        <v>0</v>
      </c>
      <c r="H25" s="21"/>
      <c r="I25" s="21"/>
      <c r="J25" s="22" t="n">
        <f aca="false">H25+I25</f>
        <v>0</v>
      </c>
      <c r="K25" s="21"/>
      <c r="L25" s="21"/>
      <c r="M25" s="22" t="n">
        <f aca="false">K25+L25</f>
        <v>0</v>
      </c>
      <c r="N25" s="21" t="n">
        <v>2868</v>
      </c>
      <c r="O25" s="21" t="n">
        <v>2868</v>
      </c>
      <c r="P25" s="22" t="n">
        <f aca="false">N25+O25</f>
        <v>5736</v>
      </c>
      <c r="Q25" s="21"/>
      <c r="R25" s="21"/>
      <c r="S25" s="22" t="n">
        <f aca="false">Q25+R25</f>
        <v>0</v>
      </c>
      <c r="T25" s="21"/>
      <c r="U25" s="21"/>
      <c r="V25" s="22" t="n">
        <f aca="false">T25+U25</f>
        <v>0</v>
      </c>
      <c r="W25" s="23" t="n">
        <f aca="false">B25+E25+H25+K25+N25+Q25+T25</f>
        <v>2868</v>
      </c>
      <c r="X25" s="24" t="n">
        <f aca="false">C25+F25+I25+L25+O25+R25+U25</f>
        <v>2868</v>
      </c>
      <c r="Y25" s="25" t="n">
        <f aca="false">W25+X25</f>
        <v>5736</v>
      </c>
    </row>
    <row r="26" customFormat="false" ht="15" hidden="false" customHeight="true" outlineLevel="0" collapsed="false">
      <c r="A26" s="20" t="s">
        <v>89</v>
      </c>
      <c r="B26" s="21"/>
      <c r="C26" s="21"/>
      <c r="D26" s="22" t="n">
        <f aca="false">B26+C26</f>
        <v>0</v>
      </c>
      <c r="E26" s="21"/>
      <c r="F26" s="21"/>
      <c r="G26" s="22" t="n">
        <f aca="false">E26+F26</f>
        <v>0</v>
      </c>
      <c r="H26" s="21"/>
      <c r="I26" s="21"/>
      <c r="J26" s="22" t="n">
        <f aca="false">H26+I26</f>
        <v>0</v>
      </c>
      <c r="K26" s="21"/>
      <c r="L26" s="21"/>
      <c r="M26" s="22" t="n">
        <f aca="false">K26+L26</f>
        <v>0</v>
      </c>
      <c r="N26" s="21"/>
      <c r="O26" s="21"/>
      <c r="P26" s="22" t="n">
        <f aca="false">N26+O26</f>
        <v>0</v>
      </c>
      <c r="Q26" s="21"/>
      <c r="R26" s="21"/>
      <c r="S26" s="22" t="n">
        <f aca="false">Q26+R26</f>
        <v>0</v>
      </c>
      <c r="T26" s="21" t="n">
        <v>1783</v>
      </c>
      <c r="U26" s="21"/>
      <c r="V26" s="22" t="n">
        <f aca="false">T26+U26</f>
        <v>1783</v>
      </c>
      <c r="W26" s="23" t="n">
        <f aca="false">B26+E26+H26+K26+N26+Q26+T26</f>
        <v>1783</v>
      </c>
      <c r="X26" s="24" t="n">
        <f aca="false">C26+F26+I26+L26+O26+R26+U26</f>
        <v>0</v>
      </c>
      <c r="Y26" s="25" t="n">
        <f aca="false">W26+X26</f>
        <v>1783</v>
      </c>
    </row>
    <row r="27" customFormat="false" ht="15" hidden="false" customHeight="true" outlineLevel="0" collapsed="false">
      <c r="A27" s="20" t="s">
        <v>90</v>
      </c>
      <c r="B27" s="21"/>
      <c r="C27" s="21"/>
      <c r="D27" s="22" t="n">
        <f aca="false">B27+C27</f>
        <v>0</v>
      </c>
      <c r="E27" s="21"/>
      <c r="F27" s="21"/>
      <c r="G27" s="22" t="n">
        <f aca="false">E27+F27</f>
        <v>0</v>
      </c>
      <c r="H27" s="21"/>
      <c r="I27" s="21"/>
      <c r="J27" s="22" t="n">
        <f aca="false">H27+I27</f>
        <v>0</v>
      </c>
      <c r="K27" s="21"/>
      <c r="L27" s="21"/>
      <c r="M27" s="22" t="n">
        <f aca="false">K27+L27</f>
        <v>0</v>
      </c>
      <c r="N27" s="21"/>
      <c r="O27" s="21"/>
      <c r="P27" s="22" t="n">
        <f aca="false">N27+O27</f>
        <v>0</v>
      </c>
      <c r="Q27" s="21" t="n">
        <v>1076</v>
      </c>
      <c r="R27" s="21"/>
      <c r="S27" s="22" t="n">
        <f aca="false">Q27+R27</f>
        <v>1076</v>
      </c>
      <c r="T27" s="21"/>
      <c r="U27" s="21"/>
      <c r="V27" s="22" t="n">
        <f aca="false">T27+U27</f>
        <v>0</v>
      </c>
      <c r="W27" s="23" t="n">
        <f aca="false">B27+E27+H27+K27+N27+Q27+T27</f>
        <v>1076</v>
      </c>
      <c r="X27" s="24" t="n">
        <f aca="false">C27+F27+I27+L27+O27+R27+U27</f>
        <v>0</v>
      </c>
      <c r="Y27" s="25" t="n">
        <f aca="false">W27+X27</f>
        <v>1076</v>
      </c>
    </row>
    <row r="28" customFormat="false" ht="15" hidden="false" customHeight="true" outlineLevel="0" collapsed="false">
      <c r="A28" s="20" t="s">
        <v>91</v>
      </c>
      <c r="B28" s="21"/>
      <c r="C28" s="21"/>
      <c r="D28" s="22" t="n">
        <f aca="false">B28+C28</f>
        <v>0</v>
      </c>
      <c r="E28" s="21"/>
      <c r="F28" s="21"/>
      <c r="G28" s="22" t="n">
        <f aca="false">E28+F28</f>
        <v>0</v>
      </c>
      <c r="H28" s="21"/>
      <c r="I28" s="21"/>
      <c r="J28" s="22" t="n">
        <f aca="false">H28+I28</f>
        <v>0</v>
      </c>
      <c r="K28" s="21"/>
      <c r="L28" s="21"/>
      <c r="M28" s="22" t="n">
        <f aca="false">K28+L28</f>
        <v>0</v>
      </c>
      <c r="N28" s="21"/>
      <c r="O28" s="21"/>
      <c r="P28" s="22" t="n">
        <f aca="false">N28+O28</f>
        <v>0</v>
      </c>
      <c r="Q28" s="21" t="n">
        <v>600</v>
      </c>
      <c r="R28" s="21"/>
      <c r="S28" s="22" t="n">
        <f aca="false">Q28+R28</f>
        <v>600</v>
      </c>
      <c r="T28" s="21"/>
      <c r="U28" s="21"/>
      <c r="V28" s="22" t="n">
        <f aca="false">T28+U28</f>
        <v>0</v>
      </c>
      <c r="W28" s="23" t="n">
        <f aca="false">B28+E28+H28+K28+N28+Q28+T28</f>
        <v>600</v>
      </c>
      <c r="X28" s="24" t="n">
        <f aca="false">C28+F28+I28+L28+O28+R28+U28</f>
        <v>0</v>
      </c>
      <c r="Y28" s="25" t="n">
        <f aca="false">W28+X28</f>
        <v>600</v>
      </c>
    </row>
    <row r="29" customFormat="false" ht="15" hidden="false" customHeight="true" outlineLevel="0" collapsed="false">
      <c r="A29" s="20" t="s">
        <v>92</v>
      </c>
      <c r="B29" s="21"/>
      <c r="C29" s="21"/>
      <c r="D29" s="22" t="n">
        <f aca="false">B29+C29</f>
        <v>0</v>
      </c>
      <c r="E29" s="21"/>
      <c r="F29" s="21"/>
      <c r="G29" s="22" t="n">
        <f aca="false">E29+F29</f>
        <v>0</v>
      </c>
      <c r="H29" s="21"/>
      <c r="I29" s="21" t="n">
        <v>8460.6</v>
      </c>
      <c r="J29" s="22" t="n">
        <f aca="false">H29+I29</f>
        <v>8460.6</v>
      </c>
      <c r="K29" s="21"/>
      <c r="L29" s="21"/>
      <c r="M29" s="22" t="n">
        <f aca="false">K29+L29</f>
        <v>0</v>
      </c>
      <c r="N29" s="21"/>
      <c r="O29" s="21"/>
      <c r="P29" s="22" t="n">
        <f aca="false">N29+O29</f>
        <v>0</v>
      </c>
      <c r="Q29" s="21"/>
      <c r="R29" s="21"/>
      <c r="S29" s="22" t="n">
        <f aca="false">Q29+R29</f>
        <v>0</v>
      </c>
      <c r="T29" s="21"/>
      <c r="U29" s="21"/>
      <c r="V29" s="22" t="n">
        <f aca="false">T29+U29</f>
        <v>0</v>
      </c>
      <c r="W29" s="23" t="n">
        <f aca="false">B29+E29+H29+K29+N29+Q29+T29</f>
        <v>0</v>
      </c>
      <c r="X29" s="24" t="n">
        <f aca="false">C29+F29+I29+L29+O29+R29+U29</f>
        <v>8460.6</v>
      </c>
      <c r="Y29" s="25" t="n">
        <f aca="false">W29+X29</f>
        <v>8460.6</v>
      </c>
    </row>
    <row r="30" customFormat="false" ht="15" hidden="false" customHeight="true" outlineLevel="0" collapsed="false">
      <c r="A30" s="20" t="s">
        <v>93</v>
      </c>
      <c r="B30" s="21"/>
      <c r="C30" s="21"/>
      <c r="D30" s="22" t="n">
        <f aca="false">B30+C30</f>
        <v>0</v>
      </c>
      <c r="E30" s="21"/>
      <c r="F30" s="21"/>
      <c r="G30" s="22" t="n">
        <f aca="false">E30+F30</f>
        <v>0</v>
      </c>
      <c r="H30" s="21"/>
      <c r="I30" s="21"/>
      <c r="J30" s="22" t="n">
        <f aca="false">H30+I30</f>
        <v>0</v>
      </c>
      <c r="K30" s="21"/>
      <c r="L30" s="21"/>
      <c r="M30" s="22" t="n">
        <f aca="false">K30+L30</f>
        <v>0</v>
      </c>
      <c r="N30" s="21"/>
      <c r="O30" s="21"/>
      <c r="P30" s="22" t="n">
        <f aca="false">N30+O30</f>
        <v>0</v>
      </c>
      <c r="Q30" s="21"/>
      <c r="R30" s="21" t="n">
        <v>64960</v>
      </c>
      <c r="S30" s="22" t="n">
        <f aca="false">Q30+R30</f>
        <v>64960</v>
      </c>
      <c r="T30" s="21"/>
      <c r="U30" s="21" t="n">
        <v>129920</v>
      </c>
      <c r="V30" s="22" t="n">
        <f aca="false">T30+U30</f>
        <v>129920</v>
      </c>
      <c r="W30" s="23" t="n">
        <f aca="false">B30+E30+H30+K30+N30+Q30+T30</f>
        <v>0</v>
      </c>
      <c r="X30" s="24" t="n">
        <f aca="false">C30+F30+I30+L30+O30+R30+U30</f>
        <v>194880</v>
      </c>
      <c r="Y30" s="25" t="n">
        <f aca="false">W30+X30</f>
        <v>194880</v>
      </c>
    </row>
    <row r="31" customFormat="false" ht="15" hidden="false" customHeight="true" outlineLevel="0" collapsed="false">
      <c r="A31" s="20" t="s">
        <v>94</v>
      </c>
      <c r="B31" s="21"/>
      <c r="C31" s="21"/>
      <c r="D31" s="22" t="n">
        <f aca="false">B31+C31</f>
        <v>0</v>
      </c>
      <c r="E31" s="21"/>
      <c r="F31" s="21"/>
      <c r="G31" s="22" t="n">
        <f aca="false">E31+F31</f>
        <v>0</v>
      </c>
      <c r="H31" s="21"/>
      <c r="I31" s="21" t="n">
        <v>20000</v>
      </c>
      <c r="J31" s="22" t="n">
        <f aca="false">H31+I31</f>
        <v>20000</v>
      </c>
      <c r="K31" s="21"/>
      <c r="L31" s="21"/>
      <c r="M31" s="22" t="n">
        <f aca="false">K31+L31</f>
        <v>0</v>
      </c>
      <c r="N31" s="21"/>
      <c r="O31" s="21"/>
      <c r="P31" s="22" t="n">
        <f aca="false">N31+O31</f>
        <v>0</v>
      </c>
      <c r="Q31" s="21"/>
      <c r="R31" s="21"/>
      <c r="S31" s="22" t="n">
        <f aca="false">Q31+R31</f>
        <v>0</v>
      </c>
      <c r="T31" s="21"/>
      <c r="U31" s="21"/>
      <c r="V31" s="22" t="n">
        <f aca="false">T31+U31</f>
        <v>0</v>
      </c>
      <c r="W31" s="23" t="n">
        <f aca="false">B31+E31+H31+K31+N31+Q31+T31</f>
        <v>0</v>
      </c>
      <c r="X31" s="24" t="n">
        <f aca="false">C31+F31+I31+L31+O31+R31+U31</f>
        <v>20000</v>
      </c>
      <c r="Y31" s="25" t="n">
        <f aca="false">W31+X31</f>
        <v>20000</v>
      </c>
    </row>
    <row r="32" customFormat="false" ht="15" hidden="false" customHeight="true" outlineLevel="0" collapsed="false">
      <c r="A32" s="20" t="s">
        <v>95</v>
      </c>
      <c r="B32" s="21"/>
      <c r="C32" s="21"/>
      <c r="D32" s="22" t="n">
        <f aca="false">B32+C32</f>
        <v>0</v>
      </c>
      <c r="E32" s="21"/>
      <c r="F32" s="21"/>
      <c r="G32" s="22" t="n">
        <f aca="false">E32+F32</f>
        <v>0</v>
      </c>
      <c r="H32" s="21"/>
      <c r="I32" s="21" t="n">
        <v>15000</v>
      </c>
      <c r="J32" s="22" t="n">
        <f aca="false">H32+I32</f>
        <v>15000</v>
      </c>
      <c r="K32" s="21"/>
      <c r="L32" s="21"/>
      <c r="M32" s="22" t="n">
        <f aca="false">K32+L32</f>
        <v>0</v>
      </c>
      <c r="N32" s="21"/>
      <c r="O32" s="21"/>
      <c r="P32" s="22" t="n">
        <f aca="false">N32+O32</f>
        <v>0</v>
      </c>
      <c r="Q32" s="21"/>
      <c r="R32" s="21"/>
      <c r="S32" s="22" t="n">
        <f aca="false">Q32+R32</f>
        <v>0</v>
      </c>
      <c r="T32" s="21"/>
      <c r="U32" s="21"/>
      <c r="V32" s="22" t="n">
        <f aca="false">T32+U32</f>
        <v>0</v>
      </c>
      <c r="W32" s="23" t="n">
        <f aca="false">B32+E32+H32+K32+N32+Q32+T32</f>
        <v>0</v>
      </c>
      <c r="X32" s="24" t="n">
        <f aca="false">C32+F32+I32+L32+O32+R32+U32</f>
        <v>15000</v>
      </c>
      <c r="Y32" s="25" t="n">
        <f aca="false">W32+X32</f>
        <v>15000</v>
      </c>
    </row>
    <row r="33" customFormat="false" ht="15" hidden="false" customHeight="true" outlineLevel="0" collapsed="false">
      <c r="A33" s="20" t="s">
        <v>96</v>
      </c>
      <c r="B33" s="21"/>
      <c r="C33" s="21" t="n">
        <v>32480</v>
      </c>
      <c r="D33" s="22" t="n">
        <f aca="false">B33+C33</f>
        <v>32480</v>
      </c>
      <c r="E33" s="21"/>
      <c r="F33" s="21"/>
      <c r="G33" s="22" t="n">
        <f aca="false">E33+F33</f>
        <v>0</v>
      </c>
      <c r="H33" s="21"/>
      <c r="I33" s="21"/>
      <c r="J33" s="22" t="n">
        <f aca="false">H33+I33</f>
        <v>0</v>
      </c>
      <c r="K33" s="21"/>
      <c r="L33" s="21"/>
      <c r="M33" s="22" t="n">
        <f aca="false">K33+L33</f>
        <v>0</v>
      </c>
      <c r="N33" s="21"/>
      <c r="O33" s="21"/>
      <c r="P33" s="22" t="n">
        <f aca="false">N33+O33</f>
        <v>0</v>
      </c>
      <c r="Q33" s="21"/>
      <c r="R33" s="21"/>
      <c r="S33" s="22" t="n">
        <f aca="false">Q33+R33</f>
        <v>0</v>
      </c>
      <c r="T33" s="21"/>
      <c r="U33" s="21"/>
      <c r="V33" s="22" t="n">
        <f aca="false">T33+U33</f>
        <v>0</v>
      </c>
      <c r="W33" s="23" t="n">
        <f aca="false">B33+E33+H33+K33+N33+Q33+T33</f>
        <v>0</v>
      </c>
      <c r="X33" s="24" t="n">
        <f aca="false">C33+F33+I33+L33+O33+R33+U33</f>
        <v>32480</v>
      </c>
      <c r="Y33" s="25" t="n">
        <f aca="false">W33+X33</f>
        <v>32480</v>
      </c>
    </row>
    <row r="34" customFormat="false" ht="16.5" hidden="false" customHeight="true" outlineLevel="0" collapsed="false">
      <c r="A34" s="26" t="s">
        <v>97</v>
      </c>
      <c r="B34" s="27" t="n">
        <f aca="false">SUM(B4:B33)</f>
        <v>15000</v>
      </c>
      <c r="C34" s="27" t="n">
        <f aca="false">SUM(C4:C33)</f>
        <v>48720</v>
      </c>
      <c r="D34" s="27" t="n">
        <f aca="false">SUM(D4:D33)</f>
        <v>63720</v>
      </c>
      <c r="E34" s="27" t="n">
        <f aca="false">SUM(E4:E33)</f>
        <v>95580.39</v>
      </c>
      <c r="F34" s="27" t="n">
        <f aca="false">SUM(F4:F33)</f>
        <v>54050</v>
      </c>
      <c r="G34" s="27" t="n">
        <f aca="false">SUM(G4:G33)</f>
        <v>149630.39</v>
      </c>
      <c r="H34" s="27" t="n">
        <f aca="false">SUM(H4:H33)</f>
        <v>34481.54</v>
      </c>
      <c r="I34" s="27" t="n">
        <f aca="false">SUM(I4:I33)</f>
        <v>145369.6</v>
      </c>
      <c r="J34" s="27" t="n">
        <f aca="false">SUM(J4:J33)</f>
        <v>179851.14</v>
      </c>
      <c r="K34" s="27" t="n">
        <f aca="false">SUM(K4:K33)</f>
        <v>124017.68</v>
      </c>
      <c r="L34" s="27" t="n">
        <f aca="false">SUM(L4:L33)</f>
        <v>179238</v>
      </c>
      <c r="M34" s="27" t="n">
        <f aca="false">SUM(M4:M33)</f>
        <v>303255.68</v>
      </c>
      <c r="N34" s="27" t="n">
        <f aca="false">SUM(N4:N33)</f>
        <v>29668.1</v>
      </c>
      <c r="O34" s="27" t="n">
        <f aca="false">SUM(O4:O33)</f>
        <v>335815.74</v>
      </c>
      <c r="P34" s="27" t="n">
        <f aca="false">SUM(P4:P33)</f>
        <v>365483.84</v>
      </c>
      <c r="Q34" s="27" t="n">
        <f aca="false">SUM(Q4:Q33)</f>
        <v>227823.73</v>
      </c>
      <c r="R34" s="27" t="n">
        <f aca="false">SUM(R4:R33)</f>
        <v>281300.22</v>
      </c>
      <c r="S34" s="27" t="n">
        <f aca="false">SUM(S4:S33)</f>
        <v>509123.95</v>
      </c>
      <c r="T34" s="27" t="n">
        <f aca="false">SUM(T4:T33)</f>
        <v>215479.03</v>
      </c>
      <c r="U34" s="27" t="n">
        <f aca="false">SUM(U4:U33)</f>
        <v>238352.37</v>
      </c>
      <c r="V34" s="27" t="n">
        <f aca="false">SUM(V4:V33)</f>
        <v>453831.4</v>
      </c>
      <c r="W34" s="27" t="n">
        <f aca="false">SUM(W4:W33)</f>
        <v>742050.47</v>
      </c>
      <c r="X34" s="27" t="n">
        <f aca="false">SUM(X4:X33)</f>
        <v>1282845.93</v>
      </c>
      <c r="Y34" s="27" t="n">
        <f aca="false">SUM(Y4:Y33)</f>
        <v>2024896.4</v>
      </c>
    </row>
  </sheetData>
  <mergeCells count="9">
    <mergeCell ref="A1:Y1"/>
    <mergeCell ref="B2:D2"/>
    <mergeCell ref="E2:G2"/>
    <mergeCell ref="H2:J2"/>
    <mergeCell ref="K2:M2"/>
    <mergeCell ref="N2:P2"/>
    <mergeCell ref="Q2:S2"/>
    <mergeCell ref="T2:V2"/>
    <mergeCell ref="W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5" min="23" style="0" width="13"/>
  </cols>
  <sheetData>
    <row r="1" customFormat="false" ht="24" hidden="false" customHeight="true" outlineLevel="0" collapsed="false">
      <c r="A1" s="10" t="s">
        <v>98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8" hidden="false" customHeight="true" outlineLevel="0" collapsed="false">
      <c r="A2" s="16" t="s">
        <v>38</v>
      </c>
      <c r="B2" s="17" t="s">
        <v>8</v>
      </c>
      <c r="C2" s="17"/>
      <c r="D2" s="17"/>
      <c r="E2" s="17" t="s">
        <v>9</v>
      </c>
      <c r="F2" s="17"/>
      <c r="G2" s="17"/>
      <c r="H2" s="17" t="s">
        <v>10</v>
      </c>
      <c r="I2" s="17"/>
      <c r="J2" s="17"/>
      <c r="K2" s="17" t="s">
        <v>11</v>
      </c>
      <c r="L2" s="17"/>
      <c r="M2" s="17"/>
      <c r="N2" s="17" t="s">
        <v>12</v>
      </c>
      <c r="O2" s="17"/>
      <c r="P2" s="17"/>
      <c r="Q2" s="17" t="s">
        <v>13</v>
      </c>
      <c r="R2" s="17"/>
      <c r="S2" s="17"/>
      <c r="T2" s="17" t="s">
        <v>14</v>
      </c>
      <c r="U2" s="17"/>
      <c r="V2" s="17"/>
      <c r="W2" s="17" t="s">
        <v>15</v>
      </c>
      <c r="X2" s="17"/>
      <c r="Y2" s="17"/>
    </row>
    <row r="3" customFormat="false" ht="15.75" hidden="false" customHeight="true" outlineLevel="0" collapsed="false">
      <c r="A3" s="18"/>
      <c r="B3" s="19" t="s">
        <v>39</v>
      </c>
      <c r="C3" s="19" t="s">
        <v>6</v>
      </c>
      <c r="D3" s="19" t="s">
        <v>19</v>
      </c>
      <c r="E3" s="19" t="s">
        <v>39</v>
      </c>
      <c r="F3" s="19" t="s">
        <v>6</v>
      </c>
      <c r="G3" s="19" t="s">
        <v>19</v>
      </c>
      <c r="H3" s="19" t="s">
        <v>39</v>
      </c>
      <c r="I3" s="19" t="s">
        <v>6</v>
      </c>
      <c r="J3" s="19" t="s">
        <v>19</v>
      </c>
      <c r="K3" s="19" t="s">
        <v>39</v>
      </c>
      <c r="L3" s="19" t="s">
        <v>6</v>
      </c>
      <c r="M3" s="19" t="s">
        <v>19</v>
      </c>
      <c r="N3" s="19" t="s">
        <v>39</v>
      </c>
      <c r="O3" s="19" t="s">
        <v>6</v>
      </c>
      <c r="P3" s="19" t="s">
        <v>19</v>
      </c>
      <c r="Q3" s="19" t="s">
        <v>39</v>
      </c>
      <c r="R3" s="19" t="s">
        <v>6</v>
      </c>
      <c r="S3" s="19" t="s">
        <v>19</v>
      </c>
      <c r="T3" s="19" t="s">
        <v>39</v>
      </c>
      <c r="U3" s="19" t="s">
        <v>6</v>
      </c>
      <c r="V3" s="19" t="s">
        <v>19</v>
      </c>
      <c r="W3" s="19" t="s">
        <v>39</v>
      </c>
      <c r="X3" s="19" t="s">
        <v>6</v>
      </c>
      <c r="Y3" s="19" t="s">
        <v>19</v>
      </c>
    </row>
    <row r="4" customFormat="false" ht="15" hidden="false" customHeight="true" outlineLevel="0" collapsed="false">
      <c r="A4" s="20" t="s">
        <v>99</v>
      </c>
      <c r="B4" s="21"/>
      <c r="C4" s="21"/>
      <c r="D4" s="22" t="n">
        <f aca="false">B4+C4</f>
        <v>0</v>
      </c>
      <c r="E4" s="21" t="n">
        <v>280000</v>
      </c>
      <c r="F4" s="21" t="n">
        <v>85000</v>
      </c>
      <c r="G4" s="22" t="n">
        <f aca="false">E4+F4</f>
        <v>365000</v>
      </c>
      <c r="H4" s="21"/>
      <c r="I4" s="21"/>
      <c r="J4" s="22" t="n">
        <f aca="false">H4+I4</f>
        <v>0</v>
      </c>
      <c r="K4" s="21"/>
      <c r="L4" s="21"/>
      <c r="M4" s="22" t="n">
        <f aca="false">K4+L4</f>
        <v>0</v>
      </c>
      <c r="N4" s="21"/>
      <c r="O4" s="21"/>
      <c r="P4" s="22" t="n">
        <f aca="false">N4+O4</f>
        <v>0</v>
      </c>
      <c r="Q4" s="21"/>
      <c r="R4" s="21"/>
      <c r="S4" s="22" t="n">
        <f aca="false">Q4+R4</f>
        <v>0</v>
      </c>
      <c r="T4" s="21"/>
      <c r="U4" s="21"/>
      <c r="V4" s="22" t="n">
        <f aca="false">T4+U4</f>
        <v>0</v>
      </c>
      <c r="W4" s="23" t="n">
        <f aca="false">B4+E4+H4+K4+N4+Q4+T4</f>
        <v>280000</v>
      </c>
      <c r="X4" s="24" t="n">
        <f aca="false">C4+F4+I4+L4+O4+R4+U4</f>
        <v>85000</v>
      </c>
      <c r="Y4" s="25" t="n">
        <f aca="false">W4+X4</f>
        <v>365000</v>
      </c>
    </row>
    <row r="5" customFormat="false" ht="15" hidden="false" customHeight="true" outlineLevel="0" collapsed="false">
      <c r="A5" s="20" t="s">
        <v>100</v>
      </c>
      <c r="B5" s="21"/>
      <c r="C5" s="21"/>
      <c r="D5" s="22" t="n">
        <f aca="false">B5+C5</f>
        <v>0</v>
      </c>
      <c r="E5" s="21" t="n">
        <v>260435</v>
      </c>
      <c r="F5" s="21"/>
      <c r="G5" s="22" t="n">
        <f aca="false">E5+F5</f>
        <v>260435</v>
      </c>
      <c r="H5" s="21"/>
      <c r="I5" s="21"/>
      <c r="J5" s="22" t="n">
        <f aca="false">H5+I5</f>
        <v>0</v>
      </c>
      <c r="K5" s="21"/>
      <c r="L5" s="21"/>
      <c r="M5" s="22" t="n">
        <f aca="false">K5+L5</f>
        <v>0</v>
      </c>
      <c r="N5" s="21"/>
      <c r="O5" s="21"/>
      <c r="P5" s="22" t="n">
        <f aca="false">N5+O5</f>
        <v>0</v>
      </c>
      <c r="Q5" s="21"/>
      <c r="R5" s="21"/>
      <c r="S5" s="22" t="n">
        <f aca="false">Q5+R5</f>
        <v>0</v>
      </c>
      <c r="T5" s="21"/>
      <c r="U5" s="21"/>
      <c r="V5" s="22" t="n">
        <f aca="false">T5+U5</f>
        <v>0</v>
      </c>
      <c r="W5" s="23" t="n">
        <f aca="false">B5+E5+H5+K5+N5+Q5+T5</f>
        <v>260435</v>
      </c>
      <c r="X5" s="24" t="n">
        <f aca="false">C5+F5+I5+L5+O5+R5+U5</f>
        <v>0</v>
      </c>
      <c r="Y5" s="25" t="n">
        <f aca="false">W5+X5</f>
        <v>260435</v>
      </c>
    </row>
    <row r="6" customFormat="false" ht="15" hidden="false" customHeight="true" outlineLevel="0" collapsed="false">
      <c r="A6" s="20" t="s">
        <v>101</v>
      </c>
      <c r="B6" s="21"/>
      <c r="C6" s="21"/>
      <c r="D6" s="22" t="n">
        <f aca="false">B6+C6</f>
        <v>0</v>
      </c>
      <c r="E6" s="21" t="n">
        <v>83200</v>
      </c>
      <c r="F6" s="21"/>
      <c r="G6" s="22" t="n">
        <f aca="false">E6+F6</f>
        <v>83200</v>
      </c>
      <c r="H6" s="21"/>
      <c r="I6" s="21"/>
      <c r="J6" s="22" t="n">
        <f aca="false">H6+I6</f>
        <v>0</v>
      </c>
      <c r="K6" s="21"/>
      <c r="L6" s="21"/>
      <c r="M6" s="22" t="n">
        <f aca="false">K6+L6</f>
        <v>0</v>
      </c>
      <c r="N6" s="21"/>
      <c r="O6" s="21"/>
      <c r="P6" s="22" t="n">
        <f aca="false">N6+O6</f>
        <v>0</v>
      </c>
      <c r="Q6" s="21"/>
      <c r="R6" s="21"/>
      <c r="S6" s="22" t="n">
        <f aca="false">Q6+R6</f>
        <v>0</v>
      </c>
      <c r="T6" s="21"/>
      <c r="U6" s="21"/>
      <c r="V6" s="22" t="n">
        <f aca="false">T6+U6</f>
        <v>0</v>
      </c>
      <c r="W6" s="23" t="n">
        <f aca="false">B6+E6+H6+K6+N6+Q6+T6</f>
        <v>83200</v>
      </c>
      <c r="X6" s="24" t="n">
        <f aca="false">C6+F6+I6+L6+O6+R6+U6</f>
        <v>0</v>
      </c>
      <c r="Y6" s="25" t="n">
        <f aca="false">W6+X6</f>
        <v>83200</v>
      </c>
    </row>
    <row r="7" customFormat="false" ht="15" hidden="false" customHeight="true" outlineLevel="0" collapsed="false">
      <c r="A7" s="20" t="s">
        <v>102</v>
      </c>
      <c r="B7" s="21"/>
      <c r="C7" s="21"/>
      <c r="D7" s="22" t="n">
        <f aca="false">B7+C7</f>
        <v>0</v>
      </c>
      <c r="E7" s="21"/>
      <c r="F7" s="21"/>
      <c r="G7" s="22" t="n">
        <f aca="false">E7+F7</f>
        <v>0</v>
      </c>
      <c r="H7" s="21"/>
      <c r="I7" s="21"/>
      <c r="J7" s="22" t="n">
        <f aca="false">H7+I7</f>
        <v>0</v>
      </c>
      <c r="K7" s="21" t="n">
        <v>20000</v>
      </c>
      <c r="L7" s="21"/>
      <c r="M7" s="22" t="n">
        <f aca="false">K7+L7</f>
        <v>20000</v>
      </c>
      <c r="N7" s="21" t="n">
        <v>40000</v>
      </c>
      <c r="O7" s="21" t="n">
        <v>20000</v>
      </c>
      <c r="P7" s="22" t="n">
        <f aca="false">N7+O7</f>
        <v>60000</v>
      </c>
      <c r="Q7" s="21"/>
      <c r="R7" s="21"/>
      <c r="S7" s="22" t="n">
        <f aca="false">Q7+R7</f>
        <v>0</v>
      </c>
      <c r="T7" s="21"/>
      <c r="U7" s="21"/>
      <c r="V7" s="22" t="n">
        <f aca="false">T7+U7</f>
        <v>0</v>
      </c>
      <c r="W7" s="23" t="n">
        <f aca="false">B7+E7+H7+K7+N7+Q7+T7</f>
        <v>60000</v>
      </c>
      <c r="X7" s="24" t="n">
        <f aca="false">C7+F7+I7+L7+O7+R7+U7</f>
        <v>20000</v>
      </c>
      <c r="Y7" s="25" t="n">
        <f aca="false">W7+X7</f>
        <v>80000</v>
      </c>
    </row>
    <row r="8" customFormat="false" ht="15" hidden="false" customHeight="true" outlineLevel="0" collapsed="false">
      <c r="A8" s="20" t="s">
        <v>103</v>
      </c>
      <c r="B8" s="21"/>
      <c r="C8" s="21"/>
      <c r="D8" s="22" t="n">
        <f aca="false">B8+C8</f>
        <v>0</v>
      </c>
      <c r="E8" s="21"/>
      <c r="F8" s="21"/>
      <c r="G8" s="22" t="n">
        <f aca="false">E8+F8</f>
        <v>0</v>
      </c>
      <c r="H8" s="21"/>
      <c r="I8" s="21"/>
      <c r="J8" s="22" t="n">
        <f aca="false">H8+I8</f>
        <v>0</v>
      </c>
      <c r="K8" s="21"/>
      <c r="L8" s="21"/>
      <c r="M8" s="22" t="n">
        <f aca="false">K8+L8</f>
        <v>0</v>
      </c>
      <c r="N8" s="21" t="n">
        <v>50000</v>
      </c>
      <c r="O8" s="21" t="n">
        <v>50000</v>
      </c>
      <c r="P8" s="22" t="n">
        <f aca="false">N8+O8</f>
        <v>100000</v>
      </c>
      <c r="Q8" s="21"/>
      <c r="R8" s="21" t="n">
        <v>50000</v>
      </c>
      <c r="S8" s="22" t="n">
        <f aca="false">Q8+R8</f>
        <v>50000</v>
      </c>
      <c r="T8" s="21"/>
      <c r="U8" s="21"/>
      <c r="V8" s="22" t="n">
        <f aca="false">T8+U8</f>
        <v>0</v>
      </c>
      <c r="W8" s="23" t="n">
        <f aca="false">B8+E8+H8+K8+N8+Q8+T8</f>
        <v>50000</v>
      </c>
      <c r="X8" s="24" t="n">
        <f aca="false">C8+F8+I8+L8+O8+R8+U8</f>
        <v>100000</v>
      </c>
      <c r="Y8" s="25" t="n">
        <f aca="false">W8+X8</f>
        <v>150000</v>
      </c>
    </row>
    <row r="9" customFormat="false" ht="15" hidden="false" customHeight="true" outlineLevel="0" collapsed="false">
      <c r="A9" s="20" t="s">
        <v>104</v>
      </c>
      <c r="B9" s="21"/>
      <c r="C9" s="21"/>
      <c r="D9" s="22" t="n">
        <f aca="false">B9+C9</f>
        <v>0</v>
      </c>
      <c r="E9" s="21"/>
      <c r="F9" s="21"/>
      <c r="G9" s="22" t="n">
        <f aca="false">E9+F9</f>
        <v>0</v>
      </c>
      <c r="H9" s="21"/>
      <c r="I9" s="21"/>
      <c r="J9" s="22" t="n">
        <f aca="false">H9+I9</f>
        <v>0</v>
      </c>
      <c r="K9" s="21"/>
      <c r="L9" s="21"/>
      <c r="M9" s="22" t="n">
        <f aca="false">K9+L9</f>
        <v>0</v>
      </c>
      <c r="N9" s="21" t="n">
        <v>14500</v>
      </c>
      <c r="O9" s="21"/>
      <c r="P9" s="22" t="n">
        <f aca="false">N9+O9</f>
        <v>14500</v>
      </c>
      <c r="Q9" s="21"/>
      <c r="R9" s="21"/>
      <c r="S9" s="22" t="n">
        <f aca="false">Q9+R9</f>
        <v>0</v>
      </c>
      <c r="T9" s="21"/>
      <c r="U9" s="21"/>
      <c r="V9" s="22" t="n">
        <f aca="false">T9+U9</f>
        <v>0</v>
      </c>
      <c r="W9" s="23" t="n">
        <f aca="false">B9+E9+H9+K9+N9+Q9+T9</f>
        <v>14500</v>
      </c>
      <c r="X9" s="24" t="n">
        <f aca="false">C9+F9+I9+L9+O9+R9+U9</f>
        <v>0</v>
      </c>
      <c r="Y9" s="25" t="n">
        <f aca="false">W9+X9</f>
        <v>14500</v>
      </c>
    </row>
    <row r="10" customFormat="false" ht="15" hidden="false" customHeight="true" outlineLevel="0" collapsed="false">
      <c r="A10" s="20" t="s">
        <v>105</v>
      </c>
      <c r="B10" s="21"/>
      <c r="C10" s="21"/>
      <c r="D10" s="22" t="n">
        <f aca="false">B10+C10</f>
        <v>0</v>
      </c>
      <c r="E10" s="21"/>
      <c r="F10" s="21"/>
      <c r="G10" s="22" t="n">
        <f aca="false">E10+F10</f>
        <v>0</v>
      </c>
      <c r="H10" s="21"/>
      <c r="I10" s="21"/>
      <c r="J10" s="22" t="n">
        <f aca="false">H10+I10</f>
        <v>0</v>
      </c>
      <c r="K10" s="21"/>
      <c r="L10" s="21" t="n">
        <v>15000</v>
      </c>
      <c r="M10" s="22" t="n">
        <f aca="false">K10+L10</f>
        <v>15000</v>
      </c>
      <c r="N10" s="21"/>
      <c r="O10" s="21"/>
      <c r="P10" s="22" t="n">
        <f aca="false">N10+O10</f>
        <v>0</v>
      </c>
      <c r="Q10" s="21"/>
      <c r="R10" s="21"/>
      <c r="S10" s="22" t="n">
        <f aca="false">Q10+R10</f>
        <v>0</v>
      </c>
      <c r="T10" s="21" t="n">
        <v>11000</v>
      </c>
      <c r="U10" s="21"/>
      <c r="V10" s="22" t="n">
        <f aca="false">T10+U10</f>
        <v>11000</v>
      </c>
      <c r="W10" s="23" t="n">
        <f aca="false">B10+E10+H10+K10+N10+Q10+T10</f>
        <v>11000</v>
      </c>
      <c r="X10" s="24" t="n">
        <f aca="false">C10+F10+I10+L10+O10+R10+U10</f>
        <v>15000</v>
      </c>
      <c r="Y10" s="25" t="n">
        <f aca="false">W10+X10</f>
        <v>26000</v>
      </c>
    </row>
    <row r="11" customFormat="false" ht="15" hidden="false" customHeight="true" outlineLevel="0" collapsed="false">
      <c r="A11" s="20" t="s">
        <v>106</v>
      </c>
      <c r="B11" s="21"/>
      <c r="C11" s="21"/>
      <c r="D11" s="22" t="n">
        <f aca="false">B11+C11</f>
        <v>0</v>
      </c>
      <c r="E11" s="21" t="n">
        <v>9280</v>
      </c>
      <c r="F11" s="21"/>
      <c r="G11" s="22" t="n">
        <f aca="false">E11+F11</f>
        <v>9280</v>
      </c>
      <c r="H11" s="21"/>
      <c r="I11" s="21"/>
      <c r="J11" s="22" t="n">
        <f aca="false">H11+I11</f>
        <v>0</v>
      </c>
      <c r="K11" s="21"/>
      <c r="L11" s="21"/>
      <c r="M11" s="22" t="n">
        <f aca="false">K11+L11</f>
        <v>0</v>
      </c>
      <c r="N11" s="21"/>
      <c r="O11" s="21"/>
      <c r="P11" s="22" t="n">
        <f aca="false">N11+O11</f>
        <v>0</v>
      </c>
      <c r="Q11" s="21"/>
      <c r="R11" s="21"/>
      <c r="S11" s="22" t="n">
        <f aca="false">Q11+R11</f>
        <v>0</v>
      </c>
      <c r="T11" s="21"/>
      <c r="U11" s="21"/>
      <c r="V11" s="22" t="n">
        <f aca="false">T11+U11</f>
        <v>0</v>
      </c>
      <c r="W11" s="23" t="n">
        <f aca="false">B11+E11+H11+K11+N11+Q11+T11</f>
        <v>9280</v>
      </c>
      <c r="X11" s="24" t="n">
        <f aca="false">C11+F11+I11+L11+O11+R11+U11</f>
        <v>0</v>
      </c>
      <c r="Y11" s="25" t="n">
        <f aca="false">W11+X11</f>
        <v>9280</v>
      </c>
    </row>
    <row r="12" customFormat="false" ht="15" hidden="false" customHeight="true" outlineLevel="0" collapsed="false">
      <c r="A12" s="20" t="s">
        <v>107</v>
      </c>
      <c r="B12" s="21"/>
      <c r="C12" s="21"/>
      <c r="D12" s="22" t="n">
        <f aca="false">B12+C12</f>
        <v>0</v>
      </c>
      <c r="E12" s="21"/>
      <c r="F12" s="21"/>
      <c r="G12" s="22" t="n">
        <f aca="false">E12+F12</f>
        <v>0</v>
      </c>
      <c r="H12" s="21"/>
      <c r="I12" s="21"/>
      <c r="J12" s="22" t="n">
        <f aca="false">H12+I12</f>
        <v>0</v>
      </c>
      <c r="K12" s="21"/>
      <c r="L12" s="21"/>
      <c r="M12" s="22" t="n">
        <f aca="false">K12+L12</f>
        <v>0</v>
      </c>
      <c r="N12" s="21" t="n">
        <v>8120</v>
      </c>
      <c r="O12" s="21"/>
      <c r="P12" s="22" t="n">
        <f aca="false">N12+O12</f>
        <v>8120</v>
      </c>
      <c r="Q12" s="21"/>
      <c r="R12" s="21"/>
      <c r="S12" s="22" t="n">
        <f aca="false">Q12+R12</f>
        <v>0</v>
      </c>
      <c r="T12" s="21"/>
      <c r="U12" s="21"/>
      <c r="V12" s="22" t="n">
        <f aca="false">T12+U12</f>
        <v>0</v>
      </c>
      <c r="W12" s="23" t="n">
        <f aca="false">B12+E12+H12+K12+N12+Q12+T12</f>
        <v>8120</v>
      </c>
      <c r="X12" s="24" t="n">
        <f aca="false">C12+F12+I12+L12+O12+R12+U12</f>
        <v>0</v>
      </c>
      <c r="Y12" s="25" t="n">
        <f aca="false">W12+X12</f>
        <v>8120</v>
      </c>
    </row>
    <row r="13" customFormat="false" ht="15" hidden="false" customHeight="true" outlineLevel="0" collapsed="false">
      <c r="A13" s="20" t="s">
        <v>108</v>
      </c>
      <c r="B13" s="21"/>
      <c r="C13" s="21"/>
      <c r="D13" s="22" t="n">
        <f aca="false">B13+C13</f>
        <v>0</v>
      </c>
      <c r="E13" s="21"/>
      <c r="F13" s="21"/>
      <c r="G13" s="22" t="n">
        <f aca="false">E13+F13</f>
        <v>0</v>
      </c>
      <c r="H13" s="21"/>
      <c r="I13" s="21"/>
      <c r="J13" s="22" t="n">
        <f aca="false">H13+I13</f>
        <v>0</v>
      </c>
      <c r="K13" s="21" t="n">
        <v>8000</v>
      </c>
      <c r="L13" s="21"/>
      <c r="M13" s="22" t="n">
        <f aca="false">K13+L13</f>
        <v>8000</v>
      </c>
      <c r="N13" s="21"/>
      <c r="O13" s="21"/>
      <c r="P13" s="22" t="n">
        <f aca="false">N13+O13</f>
        <v>0</v>
      </c>
      <c r="Q13" s="21"/>
      <c r="R13" s="21"/>
      <c r="S13" s="22" t="n">
        <f aca="false">Q13+R13</f>
        <v>0</v>
      </c>
      <c r="T13" s="21"/>
      <c r="U13" s="21"/>
      <c r="V13" s="22" t="n">
        <f aca="false">T13+U13</f>
        <v>0</v>
      </c>
      <c r="W13" s="23" t="n">
        <f aca="false">B13+E13+H13+K13+N13+Q13+T13</f>
        <v>8000</v>
      </c>
      <c r="X13" s="24" t="n">
        <f aca="false">C13+F13+I13+L13+O13+R13+U13</f>
        <v>0</v>
      </c>
      <c r="Y13" s="25" t="n">
        <f aca="false">W13+X13</f>
        <v>8000</v>
      </c>
    </row>
    <row r="14" customFormat="false" ht="15" hidden="false" customHeight="true" outlineLevel="0" collapsed="false">
      <c r="A14" s="20" t="s">
        <v>109</v>
      </c>
      <c r="B14" s="21"/>
      <c r="C14" s="21"/>
      <c r="D14" s="22" t="n">
        <f aca="false">B14+C14</f>
        <v>0</v>
      </c>
      <c r="E14" s="21"/>
      <c r="F14" s="21"/>
      <c r="G14" s="22" t="n">
        <f aca="false">E14+F14</f>
        <v>0</v>
      </c>
      <c r="H14" s="21"/>
      <c r="I14" s="21"/>
      <c r="J14" s="22" t="n">
        <f aca="false">H14+I14</f>
        <v>0</v>
      </c>
      <c r="K14" s="21"/>
      <c r="L14" s="21"/>
      <c r="M14" s="22" t="n">
        <f aca="false">K14+L14</f>
        <v>0</v>
      </c>
      <c r="N14" s="21" t="n">
        <v>7540</v>
      </c>
      <c r="O14" s="21"/>
      <c r="P14" s="22" t="n">
        <f aca="false">N14+O14</f>
        <v>7540</v>
      </c>
      <c r="Q14" s="21"/>
      <c r="R14" s="21"/>
      <c r="S14" s="22" t="n">
        <f aca="false">Q14+R14</f>
        <v>0</v>
      </c>
      <c r="T14" s="21"/>
      <c r="U14" s="21"/>
      <c r="V14" s="22" t="n">
        <f aca="false">T14+U14</f>
        <v>0</v>
      </c>
      <c r="W14" s="23" t="n">
        <f aca="false">B14+E14+H14+K14+N14+Q14+T14</f>
        <v>7540</v>
      </c>
      <c r="X14" s="24" t="n">
        <f aca="false">C14+F14+I14+L14+O14+R14+U14</f>
        <v>0</v>
      </c>
      <c r="Y14" s="25" t="n">
        <f aca="false">W14+X14</f>
        <v>7540</v>
      </c>
    </row>
    <row r="15" customFormat="false" ht="15" hidden="false" customHeight="true" outlineLevel="0" collapsed="false">
      <c r="A15" s="20" t="s">
        <v>110</v>
      </c>
      <c r="B15" s="21"/>
      <c r="C15" s="21"/>
      <c r="D15" s="22" t="n">
        <f aca="false">B15+C15</f>
        <v>0</v>
      </c>
      <c r="E15" s="21"/>
      <c r="F15" s="21"/>
      <c r="G15" s="22" t="n">
        <f aca="false">E15+F15</f>
        <v>0</v>
      </c>
      <c r="H15" s="21"/>
      <c r="I15" s="21"/>
      <c r="J15" s="22" t="n">
        <f aca="false">H15+I15</f>
        <v>0</v>
      </c>
      <c r="K15" s="21"/>
      <c r="L15" s="21"/>
      <c r="M15" s="22" t="n">
        <f aca="false">K15+L15</f>
        <v>0</v>
      </c>
      <c r="N15" s="21" t="n">
        <v>7499</v>
      </c>
      <c r="O15" s="21"/>
      <c r="P15" s="22" t="n">
        <f aca="false">N15+O15</f>
        <v>7499</v>
      </c>
      <c r="Q15" s="21"/>
      <c r="R15" s="21"/>
      <c r="S15" s="22" t="n">
        <f aca="false">Q15+R15</f>
        <v>0</v>
      </c>
      <c r="T15" s="21"/>
      <c r="U15" s="21"/>
      <c r="V15" s="22" t="n">
        <f aca="false">T15+U15</f>
        <v>0</v>
      </c>
      <c r="W15" s="23" t="n">
        <f aca="false">B15+E15+H15+K15+N15+Q15+T15</f>
        <v>7499</v>
      </c>
      <c r="X15" s="24" t="n">
        <f aca="false">C15+F15+I15+L15+O15+R15+U15</f>
        <v>0</v>
      </c>
      <c r="Y15" s="25" t="n">
        <f aca="false">W15+X15</f>
        <v>7499</v>
      </c>
    </row>
    <row r="16" customFormat="false" ht="15" hidden="false" customHeight="true" outlineLevel="0" collapsed="false">
      <c r="A16" s="20" t="s">
        <v>111</v>
      </c>
      <c r="B16" s="21"/>
      <c r="C16" s="21"/>
      <c r="D16" s="22" t="n">
        <f aca="false">B16+C16</f>
        <v>0</v>
      </c>
      <c r="E16" s="21"/>
      <c r="F16" s="21"/>
      <c r="G16" s="22" t="n">
        <f aca="false">E16+F16</f>
        <v>0</v>
      </c>
      <c r="H16" s="21"/>
      <c r="I16" s="21"/>
      <c r="J16" s="22" t="n">
        <f aca="false">H16+I16</f>
        <v>0</v>
      </c>
      <c r="K16" s="21" t="n">
        <v>6500</v>
      </c>
      <c r="L16" s="21" t="n">
        <v>6500</v>
      </c>
      <c r="M16" s="22" t="n">
        <f aca="false">K16+L16</f>
        <v>13000</v>
      </c>
      <c r="N16" s="21"/>
      <c r="O16" s="21"/>
      <c r="P16" s="22" t="n">
        <f aca="false">N16+O16</f>
        <v>0</v>
      </c>
      <c r="Q16" s="21"/>
      <c r="R16" s="21"/>
      <c r="S16" s="22" t="n">
        <f aca="false">Q16+R16</f>
        <v>0</v>
      </c>
      <c r="T16" s="21"/>
      <c r="U16" s="21"/>
      <c r="V16" s="22" t="n">
        <f aca="false">T16+U16</f>
        <v>0</v>
      </c>
      <c r="W16" s="23" t="n">
        <f aca="false">B16+E16+H16+K16+N16+Q16+T16</f>
        <v>6500</v>
      </c>
      <c r="X16" s="24" t="n">
        <f aca="false">C16+F16+I16+L16+O16+R16+U16</f>
        <v>6500</v>
      </c>
      <c r="Y16" s="25" t="n">
        <f aca="false">W16+X16</f>
        <v>13000</v>
      </c>
    </row>
    <row r="17" customFormat="false" ht="15" hidden="false" customHeight="true" outlineLevel="0" collapsed="false">
      <c r="A17" s="20" t="s">
        <v>112</v>
      </c>
      <c r="B17" s="21"/>
      <c r="C17" s="21"/>
      <c r="D17" s="22" t="n">
        <f aca="false">B17+C17</f>
        <v>0</v>
      </c>
      <c r="E17" s="21" t="n">
        <v>6020.4</v>
      </c>
      <c r="F17" s="21"/>
      <c r="G17" s="22" t="n">
        <f aca="false">E17+F17</f>
        <v>6020.4</v>
      </c>
      <c r="H17" s="21"/>
      <c r="I17" s="21"/>
      <c r="J17" s="22" t="n">
        <f aca="false">H17+I17</f>
        <v>0</v>
      </c>
      <c r="K17" s="21"/>
      <c r="L17" s="21"/>
      <c r="M17" s="22" t="n">
        <f aca="false">K17+L17</f>
        <v>0</v>
      </c>
      <c r="N17" s="21"/>
      <c r="O17" s="21"/>
      <c r="P17" s="22" t="n">
        <f aca="false">N17+O17</f>
        <v>0</v>
      </c>
      <c r="Q17" s="21"/>
      <c r="R17" s="21"/>
      <c r="S17" s="22" t="n">
        <f aca="false">Q17+R17</f>
        <v>0</v>
      </c>
      <c r="T17" s="21"/>
      <c r="U17" s="21"/>
      <c r="V17" s="22" t="n">
        <f aca="false">T17+U17</f>
        <v>0</v>
      </c>
      <c r="W17" s="23" t="n">
        <f aca="false">B17+E17+H17+K17+N17+Q17+T17</f>
        <v>6020.4</v>
      </c>
      <c r="X17" s="24" t="n">
        <f aca="false">C17+F17+I17+L17+O17+R17+U17</f>
        <v>0</v>
      </c>
      <c r="Y17" s="25" t="n">
        <f aca="false">W17+X17</f>
        <v>6020.4</v>
      </c>
    </row>
    <row r="18" customFormat="false" ht="15" hidden="false" customHeight="true" outlineLevel="0" collapsed="false">
      <c r="A18" s="20" t="s">
        <v>113</v>
      </c>
      <c r="B18" s="21"/>
      <c r="C18" s="21"/>
      <c r="D18" s="22" t="n">
        <f aca="false">B18+C18</f>
        <v>0</v>
      </c>
      <c r="E18" s="21"/>
      <c r="F18" s="21"/>
      <c r="G18" s="22" t="n">
        <f aca="false">E18+F18</f>
        <v>0</v>
      </c>
      <c r="H18" s="21"/>
      <c r="I18" s="21"/>
      <c r="J18" s="22" t="n">
        <f aca="false">H18+I18</f>
        <v>0</v>
      </c>
      <c r="K18" s="21"/>
      <c r="L18" s="21"/>
      <c r="M18" s="22" t="n">
        <f aca="false">K18+L18</f>
        <v>0</v>
      </c>
      <c r="N18" s="21"/>
      <c r="O18" s="21"/>
      <c r="P18" s="22" t="n">
        <f aca="false">N18+O18</f>
        <v>0</v>
      </c>
      <c r="Q18" s="21"/>
      <c r="R18" s="21"/>
      <c r="S18" s="22" t="n">
        <f aca="false">Q18+R18</f>
        <v>0</v>
      </c>
      <c r="T18" s="21" t="n">
        <v>4674</v>
      </c>
      <c r="U18" s="21"/>
      <c r="V18" s="22" t="n">
        <f aca="false">T18+U18</f>
        <v>4674</v>
      </c>
      <c r="W18" s="23" t="n">
        <f aca="false">B18+E18+H18+K18+N18+Q18+T18</f>
        <v>4674</v>
      </c>
      <c r="X18" s="24" t="n">
        <f aca="false">C18+F18+I18+L18+O18+R18+U18</f>
        <v>0</v>
      </c>
      <c r="Y18" s="25" t="n">
        <f aca="false">W18+X18</f>
        <v>4674</v>
      </c>
    </row>
    <row r="19" customFormat="false" ht="15" hidden="false" customHeight="true" outlineLevel="0" collapsed="false">
      <c r="A19" s="20" t="s">
        <v>114</v>
      </c>
      <c r="B19" s="21"/>
      <c r="C19" s="21"/>
      <c r="D19" s="22" t="n">
        <f aca="false">B19+C19</f>
        <v>0</v>
      </c>
      <c r="E19" s="21"/>
      <c r="F19" s="21"/>
      <c r="G19" s="22" t="n">
        <f aca="false">E19+F19</f>
        <v>0</v>
      </c>
      <c r="H19" s="21"/>
      <c r="I19" s="21"/>
      <c r="J19" s="22" t="n">
        <f aca="false">H19+I19</f>
        <v>0</v>
      </c>
      <c r="K19" s="21"/>
      <c r="L19" s="21"/>
      <c r="M19" s="22" t="n">
        <f aca="false">K19+L19</f>
        <v>0</v>
      </c>
      <c r="N19" s="21"/>
      <c r="O19" s="21"/>
      <c r="P19" s="22" t="n">
        <f aca="false">N19+O19</f>
        <v>0</v>
      </c>
      <c r="Q19" s="21" t="n">
        <v>3888</v>
      </c>
      <c r="R19" s="21"/>
      <c r="S19" s="22" t="n">
        <f aca="false">Q19+R19</f>
        <v>3888</v>
      </c>
      <c r="T19" s="21"/>
      <c r="U19" s="21"/>
      <c r="V19" s="22" t="n">
        <f aca="false">T19+U19</f>
        <v>0</v>
      </c>
      <c r="W19" s="23" t="n">
        <f aca="false">B19+E19+H19+K19+N19+Q19+T19</f>
        <v>3888</v>
      </c>
      <c r="X19" s="24" t="n">
        <f aca="false">C19+F19+I19+L19+O19+R19+U19</f>
        <v>0</v>
      </c>
      <c r="Y19" s="25" t="n">
        <f aca="false">W19+X19</f>
        <v>3888</v>
      </c>
    </row>
    <row r="20" customFormat="false" ht="15" hidden="false" customHeight="true" outlineLevel="0" collapsed="false">
      <c r="A20" s="20" t="s">
        <v>115</v>
      </c>
      <c r="B20" s="21"/>
      <c r="C20" s="21"/>
      <c r="D20" s="22" t="n">
        <f aca="false">B20+C20</f>
        <v>0</v>
      </c>
      <c r="E20" s="21"/>
      <c r="F20" s="21"/>
      <c r="G20" s="22" t="n">
        <f aca="false">E20+F20</f>
        <v>0</v>
      </c>
      <c r="H20" s="21" t="n">
        <v>2041.71</v>
      </c>
      <c r="I20" s="21"/>
      <c r="J20" s="22" t="n">
        <f aca="false">H20+I20</f>
        <v>2041.71</v>
      </c>
      <c r="K20" s="21"/>
      <c r="L20" s="21"/>
      <c r="M20" s="22" t="n">
        <f aca="false">K20+L20</f>
        <v>0</v>
      </c>
      <c r="N20" s="21"/>
      <c r="O20" s="21"/>
      <c r="P20" s="22" t="n">
        <f aca="false">N20+O20</f>
        <v>0</v>
      </c>
      <c r="Q20" s="21" t="n">
        <v>1441.56</v>
      </c>
      <c r="R20" s="21" t="n">
        <v>1186.36</v>
      </c>
      <c r="S20" s="22" t="n">
        <f aca="false">Q20+R20</f>
        <v>2627.92</v>
      </c>
      <c r="T20" s="21"/>
      <c r="U20" s="21" t="n">
        <v>6099</v>
      </c>
      <c r="V20" s="22" t="n">
        <f aca="false">T20+U20</f>
        <v>6099</v>
      </c>
      <c r="W20" s="23" t="n">
        <f aca="false">B20+E20+H20+K20+N20+Q20+T20</f>
        <v>3483.27</v>
      </c>
      <c r="X20" s="24" t="n">
        <f aca="false">C20+F20+I20+L20+O20+R20+U20</f>
        <v>7285.36</v>
      </c>
      <c r="Y20" s="25" t="n">
        <f aca="false">W20+X20</f>
        <v>10768.63</v>
      </c>
    </row>
    <row r="21" customFormat="false" ht="15" hidden="false" customHeight="true" outlineLevel="0" collapsed="false">
      <c r="A21" s="20" t="s">
        <v>116</v>
      </c>
      <c r="B21" s="21"/>
      <c r="C21" s="21"/>
      <c r="D21" s="22" t="n">
        <f aca="false">B21+C21</f>
        <v>0</v>
      </c>
      <c r="E21" s="21"/>
      <c r="F21" s="21"/>
      <c r="G21" s="22" t="n">
        <f aca="false">E21+F21</f>
        <v>0</v>
      </c>
      <c r="H21" s="21"/>
      <c r="I21" s="21"/>
      <c r="J21" s="22" t="n">
        <f aca="false">H21+I21</f>
        <v>0</v>
      </c>
      <c r="K21" s="21"/>
      <c r="L21" s="21"/>
      <c r="M21" s="22" t="n">
        <f aca="false">K21+L21</f>
        <v>0</v>
      </c>
      <c r="N21" s="21"/>
      <c r="O21" s="21"/>
      <c r="P21" s="22" t="n">
        <f aca="false">N21+O21</f>
        <v>0</v>
      </c>
      <c r="Q21" s="21" t="n">
        <v>3310</v>
      </c>
      <c r="R21" s="21"/>
      <c r="S21" s="22" t="n">
        <f aca="false">Q21+R21</f>
        <v>3310</v>
      </c>
      <c r="T21" s="21"/>
      <c r="U21" s="21"/>
      <c r="V21" s="22" t="n">
        <f aca="false">T21+U21</f>
        <v>0</v>
      </c>
      <c r="W21" s="23" t="n">
        <f aca="false">B21+E21+H21+K21+N21+Q21+T21</f>
        <v>3310</v>
      </c>
      <c r="X21" s="24" t="n">
        <f aca="false">C21+F21+I21+L21+O21+R21+U21</f>
        <v>0</v>
      </c>
      <c r="Y21" s="25" t="n">
        <f aca="false">W21+X21</f>
        <v>3310</v>
      </c>
    </row>
    <row r="22" customFormat="false" ht="15" hidden="false" customHeight="true" outlineLevel="0" collapsed="false">
      <c r="A22" s="20" t="s">
        <v>117</v>
      </c>
      <c r="B22" s="21"/>
      <c r="C22" s="21"/>
      <c r="D22" s="22" t="n">
        <f aca="false">B22+C22</f>
        <v>0</v>
      </c>
      <c r="E22" s="21"/>
      <c r="F22" s="21"/>
      <c r="G22" s="22" t="n">
        <f aca="false">E22+F22</f>
        <v>0</v>
      </c>
      <c r="H22" s="21"/>
      <c r="I22" s="21"/>
      <c r="J22" s="22" t="n">
        <f aca="false">H22+I22</f>
        <v>0</v>
      </c>
      <c r="K22" s="21"/>
      <c r="L22" s="21"/>
      <c r="M22" s="22" t="n">
        <f aca="false">K22+L22</f>
        <v>0</v>
      </c>
      <c r="N22" s="21" t="n">
        <v>2501.41</v>
      </c>
      <c r="O22" s="21"/>
      <c r="P22" s="22" t="n">
        <f aca="false">N22+O22</f>
        <v>2501.41</v>
      </c>
      <c r="Q22" s="21"/>
      <c r="R22" s="21"/>
      <c r="S22" s="22" t="n">
        <f aca="false">Q22+R22</f>
        <v>0</v>
      </c>
      <c r="T22" s="21"/>
      <c r="U22" s="21"/>
      <c r="V22" s="22" t="n">
        <f aca="false">T22+U22</f>
        <v>0</v>
      </c>
      <c r="W22" s="23" t="n">
        <f aca="false">B22+E22+H22+K22+N22+Q22+T22</f>
        <v>2501.41</v>
      </c>
      <c r="X22" s="24" t="n">
        <f aca="false">C22+F22+I22+L22+O22+R22+U22</f>
        <v>0</v>
      </c>
      <c r="Y22" s="25" t="n">
        <f aca="false">W22+X22</f>
        <v>2501.41</v>
      </c>
    </row>
    <row r="23" customFormat="false" ht="15" hidden="false" customHeight="true" outlineLevel="0" collapsed="false">
      <c r="A23" s="20" t="s">
        <v>118</v>
      </c>
      <c r="B23" s="21"/>
      <c r="C23" s="21"/>
      <c r="D23" s="22" t="n">
        <f aca="false">B23+C23</f>
        <v>0</v>
      </c>
      <c r="E23" s="21"/>
      <c r="F23" s="21"/>
      <c r="G23" s="22" t="n">
        <f aca="false">E23+F23</f>
        <v>0</v>
      </c>
      <c r="H23" s="21"/>
      <c r="I23" s="21"/>
      <c r="J23" s="22" t="n">
        <f aca="false">H23+I23</f>
        <v>0</v>
      </c>
      <c r="K23" s="21" t="n">
        <v>2400</v>
      </c>
      <c r="L23" s="21"/>
      <c r="M23" s="22" t="n">
        <f aca="false">K23+L23</f>
        <v>2400</v>
      </c>
      <c r="N23" s="21"/>
      <c r="O23" s="21"/>
      <c r="P23" s="22" t="n">
        <f aca="false">N23+O23</f>
        <v>0</v>
      </c>
      <c r="Q23" s="21"/>
      <c r="R23" s="21"/>
      <c r="S23" s="22" t="n">
        <f aca="false">Q23+R23</f>
        <v>0</v>
      </c>
      <c r="T23" s="21"/>
      <c r="U23" s="21"/>
      <c r="V23" s="22" t="n">
        <f aca="false">T23+U23</f>
        <v>0</v>
      </c>
      <c r="W23" s="23" t="n">
        <f aca="false">B23+E23+H23+K23+N23+Q23+T23</f>
        <v>2400</v>
      </c>
      <c r="X23" s="24" t="n">
        <f aca="false">C23+F23+I23+L23+O23+R23+U23</f>
        <v>0</v>
      </c>
      <c r="Y23" s="25" t="n">
        <f aca="false">W23+X23</f>
        <v>2400</v>
      </c>
    </row>
    <row r="24" customFormat="false" ht="15" hidden="false" customHeight="true" outlineLevel="0" collapsed="false">
      <c r="A24" s="20" t="s">
        <v>119</v>
      </c>
      <c r="B24" s="21"/>
      <c r="C24" s="21"/>
      <c r="D24" s="22" t="n">
        <f aca="false">B24+C24</f>
        <v>0</v>
      </c>
      <c r="E24" s="21"/>
      <c r="F24" s="21"/>
      <c r="G24" s="22" t="n">
        <f aca="false">E24+F24</f>
        <v>0</v>
      </c>
      <c r="H24" s="21"/>
      <c r="I24" s="21"/>
      <c r="J24" s="22" t="n">
        <f aca="false">H24+I24</f>
        <v>0</v>
      </c>
      <c r="K24" s="21"/>
      <c r="L24" s="21"/>
      <c r="M24" s="22" t="n">
        <f aca="false">K24+L24</f>
        <v>0</v>
      </c>
      <c r="N24" s="21" t="n">
        <v>2400</v>
      </c>
      <c r="O24" s="21"/>
      <c r="P24" s="22" t="n">
        <f aca="false">N24+O24</f>
        <v>2400</v>
      </c>
      <c r="Q24" s="21"/>
      <c r="R24" s="21"/>
      <c r="S24" s="22" t="n">
        <f aca="false">Q24+R24</f>
        <v>0</v>
      </c>
      <c r="T24" s="21"/>
      <c r="U24" s="21"/>
      <c r="V24" s="22" t="n">
        <f aca="false">T24+U24</f>
        <v>0</v>
      </c>
      <c r="W24" s="23" t="n">
        <f aca="false">B24+E24+H24+K24+N24+Q24+T24</f>
        <v>2400</v>
      </c>
      <c r="X24" s="24" t="n">
        <f aca="false">C24+F24+I24+L24+O24+R24+U24</f>
        <v>0</v>
      </c>
      <c r="Y24" s="25" t="n">
        <f aca="false">W24+X24</f>
        <v>2400</v>
      </c>
    </row>
    <row r="25" customFormat="false" ht="15" hidden="false" customHeight="true" outlineLevel="0" collapsed="false">
      <c r="A25" s="20" t="s">
        <v>120</v>
      </c>
      <c r="B25" s="21"/>
      <c r="C25" s="21"/>
      <c r="D25" s="22" t="n">
        <f aca="false">B25+C25</f>
        <v>0</v>
      </c>
      <c r="E25" s="21"/>
      <c r="F25" s="21"/>
      <c r="G25" s="22" t="n">
        <f aca="false">E25+F25</f>
        <v>0</v>
      </c>
      <c r="H25" s="21"/>
      <c r="I25" s="21"/>
      <c r="J25" s="22" t="n">
        <f aca="false">H25+I25</f>
        <v>0</v>
      </c>
      <c r="K25" s="21"/>
      <c r="L25" s="21"/>
      <c r="M25" s="22" t="n">
        <f aca="false">K25+L25</f>
        <v>0</v>
      </c>
      <c r="N25" s="21"/>
      <c r="O25" s="21"/>
      <c r="P25" s="22" t="n">
        <f aca="false">N25+O25</f>
        <v>0</v>
      </c>
      <c r="Q25" s="21"/>
      <c r="R25" s="21"/>
      <c r="S25" s="22" t="n">
        <f aca="false">Q25+R25</f>
        <v>0</v>
      </c>
      <c r="T25" s="21" t="n">
        <v>1551</v>
      </c>
      <c r="U25" s="21"/>
      <c r="V25" s="22" t="n">
        <f aca="false">T25+U25</f>
        <v>1551</v>
      </c>
      <c r="W25" s="23" t="n">
        <f aca="false">B25+E25+H25+K25+N25+Q25+T25</f>
        <v>1551</v>
      </c>
      <c r="X25" s="24" t="n">
        <f aca="false">C25+F25+I25+L25+O25+R25+U25</f>
        <v>0</v>
      </c>
      <c r="Y25" s="25" t="n">
        <f aca="false">W25+X25</f>
        <v>1551</v>
      </c>
    </row>
    <row r="26" customFormat="false" ht="15" hidden="false" customHeight="true" outlineLevel="0" collapsed="false">
      <c r="A26" s="20" t="s">
        <v>121</v>
      </c>
      <c r="B26" s="21"/>
      <c r="C26" s="21"/>
      <c r="D26" s="22" t="n">
        <f aca="false">B26+C26</f>
        <v>0</v>
      </c>
      <c r="E26" s="21"/>
      <c r="F26" s="21"/>
      <c r="G26" s="22" t="n">
        <f aca="false">E26+F26</f>
        <v>0</v>
      </c>
      <c r="H26" s="21"/>
      <c r="I26" s="21"/>
      <c r="J26" s="22" t="n">
        <f aca="false">H26+I26</f>
        <v>0</v>
      </c>
      <c r="K26" s="21"/>
      <c r="L26" s="21"/>
      <c r="M26" s="22" t="n">
        <f aca="false">K26+L26</f>
        <v>0</v>
      </c>
      <c r="N26" s="21"/>
      <c r="O26" s="21"/>
      <c r="P26" s="22" t="n">
        <f aca="false">N26+O26</f>
        <v>0</v>
      </c>
      <c r="Q26" s="21"/>
      <c r="R26" s="21"/>
      <c r="S26" s="22" t="n">
        <f aca="false">Q26+R26</f>
        <v>0</v>
      </c>
      <c r="T26" s="21" t="n">
        <v>1044</v>
      </c>
      <c r="U26" s="21"/>
      <c r="V26" s="22" t="n">
        <f aca="false">T26+U26</f>
        <v>1044</v>
      </c>
      <c r="W26" s="23" t="n">
        <f aca="false">B26+E26+H26+K26+N26+Q26+T26</f>
        <v>1044</v>
      </c>
      <c r="X26" s="24" t="n">
        <f aca="false">C26+F26+I26+L26+O26+R26+U26</f>
        <v>0</v>
      </c>
      <c r="Y26" s="25" t="n">
        <f aca="false">W26+X26</f>
        <v>1044</v>
      </c>
    </row>
    <row r="27" customFormat="false" ht="15" hidden="false" customHeight="true" outlineLevel="0" collapsed="false">
      <c r="A27" s="20" t="s">
        <v>122</v>
      </c>
      <c r="B27" s="21"/>
      <c r="C27" s="21"/>
      <c r="D27" s="22" t="n">
        <f aca="false">B27+C27</f>
        <v>0</v>
      </c>
      <c r="E27" s="21"/>
      <c r="F27" s="21"/>
      <c r="G27" s="22" t="n">
        <f aca="false">E27+F27</f>
        <v>0</v>
      </c>
      <c r="H27" s="21"/>
      <c r="I27" s="21"/>
      <c r="J27" s="22" t="n">
        <f aca="false">H27+I27</f>
        <v>0</v>
      </c>
      <c r="K27" s="21"/>
      <c r="L27" s="21"/>
      <c r="M27" s="22" t="n">
        <f aca="false">K27+L27</f>
        <v>0</v>
      </c>
      <c r="N27" s="21"/>
      <c r="O27" s="21"/>
      <c r="P27" s="22" t="n">
        <f aca="false">N27+O27</f>
        <v>0</v>
      </c>
      <c r="Q27" s="21" t="n">
        <v>520</v>
      </c>
      <c r="R27" s="21"/>
      <c r="S27" s="22" t="n">
        <f aca="false">Q27+R27</f>
        <v>520</v>
      </c>
      <c r="T27" s="21"/>
      <c r="U27" s="21"/>
      <c r="V27" s="22" t="n">
        <f aca="false">T27+U27</f>
        <v>0</v>
      </c>
      <c r="W27" s="23" t="n">
        <f aca="false">B27+E27+H27+K27+N27+Q27+T27</f>
        <v>520</v>
      </c>
      <c r="X27" s="24" t="n">
        <f aca="false">C27+F27+I27+L27+O27+R27+U27</f>
        <v>0</v>
      </c>
      <c r="Y27" s="25" t="n">
        <f aca="false">W27+X27</f>
        <v>520</v>
      </c>
    </row>
    <row r="28" customFormat="false" ht="15" hidden="false" customHeight="true" outlineLevel="0" collapsed="false">
      <c r="A28" s="20" t="s">
        <v>123</v>
      </c>
      <c r="B28" s="21"/>
      <c r="C28" s="21"/>
      <c r="D28" s="22" t="n">
        <f aca="false">B28+C28</f>
        <v>0</v>
      </c>
      <c r="E28" s="21"/>
      <c r="F28" s="21"/>
      <c r="G28" s="22" t="n">
        <f aca="false">E28+F28</f>
        <v>0</v>
      </c>
      <c r="H28" s="21"/>
      <c r="I28" s="21" t="n">
        <v>246.44</v>
      </c>
      <c r="J28" s="22" t="n">
        <f aca="false">H28+I28</f>
        <v>246.44</v>
      </c>
      <c r="K28" s="21"/>
      <c r="L28" s="21"/>
      <c r="M28" s="22" t="n">
        <f aca="false">K28+L28</f>
        <v>0</v>
      </c>
      <c r="N28" s="21"/>
      <c r="O28" s="21"/>
      <c r="P28" s="22" t="n">
        <f aca="false">N28+O28</f>
        <v>0</v>
      </c>
      <c r="Q28" s="21"/>
      <c r="R28" s="21"/>
      <c r="S28" s="22" t="n">
        <f aca="false">Q28+R28</f>
        <v>0</v>
      </c>
      <c r="T28" s="21"/>
      <c r="U28" s="21"/>
      <c r="V28" s="22" t="n">
        <f aca="false">T28+U28</f>
        <v>0</v>
      </c>
      <c r="W28" s="23" t="n">
        <f aca="false">B28+E28+H28+K28+N28+Q28+T28</f>
        <v>0</v>
      </c>
      <c r="X28" s="24" t="n">
        <f aca="false">C28+F28+I28+L28+O28+R28+U28</f>
        <v>246.44</v>
      </c>
      <c r="Y28" s="25" t="n">
        <f aca="false">W28+X28</f>
        <v>246.44</v>
      </c>
    </row>
    <row r="29" customFormat="false" ht="15" hidden="false" customHeight="true" outlineLevel="0" collapsed="false">
      <c r="A29" s="20" t="s">
        <v>124</v>
      </c>
      <c r="B29" s="21"/>
      <c r="C29" s="21" t="n">
        <v>20000</v>
      </c>
      <c r="D29" s="22" t="n">
        <f aca="false">B29+C29</f>
        <v>20000</v>
      </c>
      <c r="E29" s="21"/>
      <c r="F29" s="21"/>
      <c r="G29" s="22" t="n">
        <f aca="false">E29+F29</f>
        <v>0</v>
      </c>
      <c r="H29" s="21"/>
      <c r="I29" s="21"/>
      <c r="J29" s="22" t="n">
        <f aca="false">H29+I29</f>
        <v>0</v>
      </c>
      <c r="K29" s="21"/>
      <c r="L29" s="21"/>
      <c r="M29" s="22" t="n">
        <f aca="false">K29+L29</f>
        <v>0</v>
      </c>
      <c r="N29" s="21"/>
      <c r="O29" s="21"/>
      <c r="P29" s="22" t="n">
        <f aca="false">N29+O29</f>
        <v>0</v>
      </c>
      <c r="Q29" s="21"/>
      <c r="R29" s="21"/>
      <c r="S29" s="22" t="n">
        <f aca="false">Q29+R29</f>
        <v>0</v>
      </c>
      <c r="T29" s="21"/>
      <c r="U29" s="21"/>
      <c r="V29" s="22" t="n">
        <f aca="false">T29+U29</f>
        <v>0</v>
      </c>
      <c r="W29" s="23" t="n">
        <f aca="false">B29+E29+H29+K29+N29+Q29+T29</f>
        <v>0</v>
      </c>
      <c r="X29" s="24" t="n">
        <f aca="false">C29+F29+I29+L29+O29+R29+U29</f>
        <v>20000</v>
      </c>
      <c r="Y29" s="25" t="n">
        <f aca="false">W29+X29</f>
        <v>20000</v>
      </c>
    </row>
    <row r="30" customFormat="false" ht="15" hidden="false" customHeight="true" outlineLevel="0" collapsed="false">
      <c r="A30" s="20" t="s">
        <v>125</v>
      </c>
      <c r="B30" s="21"/>
      <c r="C30" s="21"/>
      <c r="D30" s="22" t="n">
        <f aca="false">B30+C30</f>
        <v>0</v>
      </c>
      <c r="E30" s="21"/>
      <c r="F30" s="21"/>
      <c r="G30" s="22" t="n">
        <f aca="false">E30+F30</f>
        <v>0</v>
      </c>
      <c r="H30" s="21"/>
      <c r="I30" s="21"/>
      <c r="J30" s="22" t="n">
        <f aca="false">H30+I30</f>
        <v>0</v>
      </c>
      <c r="K30" s="21"/>
      <c r="L30" s="21"/>
      <c r="M30" s="22" t="n">
        <f aca="false">K30+L30</f>
        <v>0</v>
      </c>
      <c r="N30" s="21"/>
      <c r="O30" s="21"/>
      <c r="P30" s="22" t="n">
        <f aca="false">N30+O30</f>
        <v>0</v>
      </c>
      <c r="Q30" s="21"/>
      <c r="R30" s="21"/>
      <c r="S30" s="22" t="n">
        <f aca="false">Q30+R30</f>
        <v>0</v>
      </c>
      <c r="T30" s="21"/>
      <c r="U30" s="21" t="n">
        <v>253216.55</v>
      </c>
      <c r="V30" s="22" t="n">
        <f aca="false">T30+U30</f>
        <v>253216.55</v>
      </c>
      <c r="W30" s="23" t="n">
        <f aca="false">B30+E30+H30+K30+N30+Q30+T30</f>
        <v>0</v>
      </c>
      <c r="X30" s="24" t="n">
        <f aca="false">C30+F30+I30+L30+O30+R30+U30</f>
        <v>253216.55</v>
      </c>
      <c r="Y30" s="25" t="n">
        <f aca="false">W30+X30</f>
        <v>253216.55</v>
      </c>
    </row>
    <row r="31" customFormat="false" ht="15" hidden="false" customHeight="true" outlineLevel="0" collapsed="false">
      <c r="A31" s="20" t="s">
        <v>126</v>
      </c>
      <c r="B31" s="21"/>
      <c r="C31" s="21"/>
      <c r="D31" s="22" t="n">
        <f aca="false">B31+C31</f>
        <v>0</v>
      </c>
      <c r="E31" s="21"/>
      <c r="F31" s="21"/>
      <c r="G31" s="22" t="n">
        <f aca="false">E31+F31</f>
        <v>0</v>
      </c>
      <c r="H31" s="21"/>
      <c r="I31" s="21" t="n">
        <v>593.5</v>
      </c>
      <c r="J31" s="22" t="n">
        <f aca="false">H31+I31</f>
        <v>593.5</v>
      </c>
      <c r="K31" s="21"/>
      <c r="L31" s="21"/>
      <c r="M31" s="22" t="n">
        <f aca="false">K31+L31</f>
        <v>0</v>
      </c>
      <c r="N31" s="21"/>
      <c r="O31" s="21"/>
      <c r="P31" s="22" t="n">
        <f aca="false">N31+O31</f>
        <v>0</v>
      </c>
      <c r="Q31" s="21"/>
      <c r="R31" s="21"/>
      <c r="S31" s="22" t="n">
        <f aca="false">Q31+R31</f>
        <v>0</v>
      </c>
      <c r="T31" s="21"/>
      <c r="U31" s="21"/>
      <c r="V31" s="22" t="n">
        <f aca="false">T31+U31</f>
        <v>0</v>
      </c>
      <c r="W31" s="23" t="n">
        <f aca="false">B31+E31+H31+K31+N31+Q31+T31</f>
        <v>0</v>
      </c>
      <c r="X31" s="24" t="n">
        <f aca="false">C31+F31+I31+L31+O31+R31+U31</f>
        <v>593.5</v>
      </c>
      <c r="Y31" s="25" t="n">
        <f aca="false">W31+X31</f>
        <v>593.5</v>
      </c>
    </row>
    <row r="32" customFormat="false" ht="15" hidden="false" customHeight="true" outlineLevel="0" collapsed="false">
      <c r="A32" s="20" t="s">
        <v>127</v>
      </c>
      <c r="B32" s="21"/>
      <c r="C32" s="21"/>
      <c r="D32" s="22" t="n">
        <f aca="false">B32+C32</f>
        <v>0</v>
      </c>
      <c r="E32" s="21"/>
      <c r="F32" s="21"/>
      <c r="G32" s="22" t="n">
        <f aca="false">E32+F32</f>
        <v>0</v>
      </c>
      <c r="H32" s="21"/>
      <c r="I32" s="21"/>
      <c r="J32" s="22" t="n">
        <f aca="false">H32+I32</f>
        <v>0</v>
      </c>
      <c r="K32" s="21"/>
      <c r="L32" s="21" t="n">
        <v>2028.84</v>
      </c>
      <c r="M32" s="22" t="n">
        <f aca="false">K32+L32</f>
        <v>2028.84</v>
      </c>
      <c r="N32" s="21"/>
      <c r="O32" s="21"/>
      <c r="P32" s="22" t="n">
        <f aca="false">N32+O32</f>
        <v>0</v>
      </c>
      <c r="Q32" s="21"/>
      <c r="R32" s="21"/>
      <c r="S32" s="22" t="n">
        <f aca="false">Q32+R32</f>
        <v>0</v>
      </c>
      <c r="T32" s="21"/>
      <c r="U32" s="21"/>
      <c r="V32" s="22" t="n">
        <f aca="false">T32+U32</f>
        <v>0</v>
      </c>
      <c r="W32" s="23" t="n">
        <f aca="false">B32+E32+H32+K32+N32+Q32+T32</f>
        <v>0</v>
      </c>
      <c r="X32" s="24" t="n">
        <f aca="false">C32+F32+I32+L32+O32+R32+U32</f>
        <v>2028.84</v>
      </c>
      <c r="Y32" s="25" t="n">
        <f aca="false">W32+X32</f>
        <v>2028.84</v>
      </c>
    </row>
    <row r="33" customFormat="false" ht="15" hidden="false" customHeight="true" outlineLevel="0" collapsed="false">
      <c r="A33" s="20" t="s">
        <v>128</v>
      </c>
      <c r="B33" s="21"/>
      <c r="C33" s="21"/>
      <c r="D33" s="22" t="n">
        <f aca="false">B33+C33</f>
        <v>0</v>
      </c>
      <c r="E33" s="21"/>
      <c r="F33" s="21" t="n">
        <v>12000</v>
      </c>
      <c r="G33" s="22" t="n">
        <f aca="false">E33+F33</f>
        <v>12000</v>
      </c>
      <c r="H33" s="21"/>
      <c r="I33" s="21"/>
      <c r="J33" s="22" t="n">
        <f aca="false">H33+I33</f>
        <v>0</v>
      </c>
      <c r="K33" s="21"/>
      <c r="L33" s="21"/>
      <c r="M33" s="22" t="n">
        <f aca="false">K33+L33</f>
        <v>0</v>
      </c>
      <c r="N33" s="21"/>
      <c r="O33" s="21"/>
      <c r="P33" s="22" t="n">
        <f aca="false">N33+O33</f>
        <v>0</v>
      </c>
      <c r="Q33" s="21"/>
      <c r="R33" s="21"/>
      <c r="S33" s="22" t="n">
        <f aca="false">Q33+R33</f>
        <v>0</v>
      </c>
      <c r="T33" s="21"/>
      <c r="U33" s="21"/>
      <c r="V33" s="22" t="n">
        <f aca="false">T33+U33</f>
        <v>0</v>
      </c>
      <c r="W33" s="23" t="n">
        <f aca="false">B33+E33+H33+K33+N33+Q33+T33</f>
        <v>0</v>
      </c>
      <c r="X33" s="24" t="n">
        <f aca="false">C33+F33+I33+L33+O33+R33+U33</f>
        <v>12000</v>
      </c>
      <c r="Y33" s="25" t="n">
        <f aca="false">W33+X33</f>
        <v>12000</v>
      </c>
    </row>
    <row r="34" customFormat="false" ht="15" hidden="false" customHeight="true" outlineLevel="0" collapsed="false">
      <c r="A34" s="20" t="s">
        <v>129</v>
      </c>
      <c r="B34" s="21"/>
      <c r="C34" s="21"/>
      <c r="D34" s="22" t="n">
        <f aca="false">B34+C34</f>
        <v>0</v>
      </c>
      <c r="E34" s="21"/>
      <c r="F34" s="21"/>
      <c r="G34" s="22" t="n">
        <f aca="false">E34+F34</f>
        <v>0</v>
      </c>
      <c r="H34" s="21"/>
      <c r="I34" s="21" t="n">
        <v>10000</v>
      </c>
      <c r="J34" s="22" t="n">
        <f aca="false">H34+I34</f>
        <v>10000</v>
      </c>
      <c r="K34" s="21"/>
      <c r="L34" s="21"/>
      <c r="M34" s="22" t="n">
        <f aca="false">K34+L34</f>
        <v>0</v>
      </c>
      <c r="N34" s="21"/>
      <c r="O34" s="21"/>
      <c r="P34" s="22" t="n">
        <f aca="false">N34+O34</f>
        <v>0</v>
      </c>
      <c r="Q34" s="21"/>
      <c r="R34" s="21"/>
      <c r="S34" s="22" t="n">
        <f aca="false">Q34+R34</f>
        <v>0</v>
      </c>
      <c r="T34" s="21"/>
      <c r="U34" s="21"/>
      <c r="V34" s="22" t="n">
        <f aca="false">T34+U34</f>
        <v>0</v>
      </c>
      <c r="W34" s="23" t="n">
        <f aca="false">B34+E34+H34+K34+N34+Q34+T34</f>
        <v>0</v>
      </c>
      <c r="X34" s="24" t="n">
        <f aca="false">C34+F34+I34+L34+O34+R34+U34</f>
        <v>10000</v>
      </c>
      <c r="Y34" s="25" t="n">
        <f aca="false">W34+X34</f>
        <v>10000</v>
      </c>
    </row>
    <row r="35" customFormat="false" ht="16.5" hidden="false" customHeight="true" outlineLevel="0" collapsed="false">
      <c r="A35" s="26" t="s">
        <v>130</v>
      </c>
      <c r="B35" s="27" t="n">
        <f aca="false">SUM(B4:B34)</f>
        <v>0</v>
      </c>
      <c r="C35" s="27" t="n">
        <f aca="false">SUM(C4:C34)</f>
        <v>20000</v>
      </c>
      <c r="D35" s="27" t="n">
        <f aca="false">SUM(D4:D34)</f>
        <v>20000</v>
      </c>
      <c r="E35" s="27" t="n">
        <f aca="false">SUM(E4:E34)</f>
        <v>638935.4</v>
      </c>
      <c r="F35" s="27" t="n">
        <f aca="false">SUM(F4:F34)</f>
        <v>97000</v>
      </c>
      <c r="G35" s="27" t="n">
        <f aca="false">SUM(G4:G34)</f>
        <v>735935.4</v>
      </c>
      <c r="H35" s="27" t="n">
        <f aca="false">SUM(H4:H34)</f>
        <v>2041.71</v>
      </c>
      <c r="I35" s="27" t="n">
        <f aca="false">SUM(I4:I34)</f>
        <v>10839.94</v>
      </c>
      <c r="J35" s="27" t="n">
        <f aca="false">SUM(J4:J34)</f>
        <v>12881.65</v>
      </c>
      <c r="K35" s="27" t="n">
        <f aca="false">SUM(K4:K34)</f>
        <v>36900</v>
      </c>
      <c r="L35" s="27" t="n">
        <f aca="false">SUM(L4:L34)</f>
        <v>23528.84</v>
      </c>
      <c r="M35" s="27" t="n">
        <f aca="false">SUM(M4:M34)</f>
        <v>60428.84</v>
      </c>
      <c r="N35" s="27" t="n">
        <f aca="false">SUM(N4:N34)</f>
        <v>132560.41</v>
      </c>
      <c r="O35" s="27" t="n">
        <f aca="false">SUM(O4:O34)</f>
        <v>70000</v>
      </c>
      <c r="P35" s="27" t="n">
        <f aca="false">SUM(P4:P34)</f>
        <v>202560.41</v>
      </c>
      <c r="Q35" s="27" t="n">
        <f aca="false">SUM(Q4:Q34)</f>
        <v>9159.56</v>
      </c>
      <c r="R35" s="27" t="n">
        <f aca="false">SUM(R4:R34)</f>
        <v>51186.36</v>
      </c>
      <c r="S35" s="27" t="n">
        <f aca="false">SUM(S4:S34)</f>
        <v>60345.92</v>
      </c>
      <c r="T35" s="27" t="n">
        <f aca="false">SUM(T4:T34)</f>
        <v>18269</v>
      </c>
      <c r="U35" s="27" t="n">
        <f aca="false">SUM(U4:U34)</f>
        <v>259315.55</v>
      </c>
      <c r="V35" s="27" t="n">
        <f aca="false">SUM(V4:V34)</f>
        <v>277584.55</v>
      </c>
      <c r="W35" s="27" t="n">
        <f aca="false">SUM(W4:W34)</f>
        <v>837866.08</v>
      </c>
      <c r="X35" s="27" t="n">
        <f aca="false">SUM(X4:X34)</f>
        <v>531870.69</v>
      </c>
      <c r="Y35" s="27" t="n">
        <f aca="false">SUM(Y4:Y34)</f>
        <v>1369736.77</v>
      </c>
    </row>
  </sheetData>
  <mergeCells count="9">
    <mergeCell ref="A1:Y1"/>
    <mergeCell ref="B2:D2"/>
    <mergeCell ref="E2:G2"/>
    <mergeCell ref="H2:J2"/>
    <mergeCell ref="K2:M2"/>
    <mergeCell ref="N2:P2"/>
    <mergeCell ref="Q2:S2"/>
    <mergeCell ref="T2:V2"/>
    <mergeCell ref="W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5" min="23" style="0" width="13"/>
  </cols>
  <sheetData>
    <row r="1" customFormat="false" ht="24" hidden="false" customHeight="true" outlineLevel="0" collapsed="false">
      <c r="A1" s="10" t="s">
        <v>131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8" hidden="false" customHeight="true" outlineLevel="0" collapsed="false">
      <c r="A2" s="16" t="s">
        <v>38</v>
      </c>
      <c r="B2" s="17" t="s">
        <v>8</v>
      </c>
      <c r="C2" s="17"/>
      <c r="D2" s="17"/>
      <c r="E2" s="17" t="s">
        <v>9</v>
      </c>
      <c r="F2" s="17"/>
      <c r="G2" s="17"/>
      <c r="H2" s="17" t="s">
        <v>10</v>
      </c>
      <c r="I2" s="17"/>
      <c r="J2" s="17"/>
      <c r="K2" s="17" t="s">
        <v>11</v>
      </c>
      <c r="L2" s="17"/>
      <c r="M2" s="17"/>
      <c r="N2" s="17" t="s">
        <v>12</v>
      </c>
      <c r="O2" s="17"/>
      <c r="P2" s="17"/>
      <c r="Q2" s="17" t="s">
        <v>13</v>
      </c>
      <c r="R2" s="17"/>
      <c r="S2" s="17"/>
      <c r="T2" s="17" t="s">
        <v>14</v>
      </c>
      <c r="U2" s="17"/>
      <c r="V2" s="17"/>
      <c r="W2" s="17" t="s">
        <v>15</v>
      </c>
      <c r="X2" s="17"/>
      <c r="Y2" s="17"/>
    </row>
    <row r="3" customFormat="false" ht="15.75" hidden="false" customHeight="true" outlineLevel="0" collapsed="false">
      <c r="A3" s="18"/>
      <c r="B3" s="19" t="s">
        <v>39</v>
      </c>
      <c r="C3" s="19" t="s">
        <v>6</v>
      </c>
      <c r="D3" s="19" t="s">
        <v>19</v>
      </c>
      <c r="E3" s="19" t="s">
        <v>39</v>
      </c>
      <c r="F3" s="19" t="s">
        <v>6</v>
      </c>
      <c r="G3" s="19" t="s">
        <v>19</v>
      </c>
      <c r="H3" s="19" t="s">
        <v>39</v>
      </c>
      <c r="I3" s="19" t="s">
        <v>6</v>
      </c>
      <c r="J3" s="19" t="s">
        <v>19</v>
      </c>
      <c r="K3" s="19" t="s">
        <v>39</v>
      </c>
      <c r="L3" s="19" t="s">
        <v>6</v>
      </c>
      <c r="M3" s="19" t="s">
        <v>19</v>
      </c>
      <c r="N3" s="19" t="s">
        <v>39</v>
      </c>
      <c r="O3" s="19" t="s">
        <v>6</v>
      </c>
      <c r="P3" s="19" t="s">
        <v>19</v>
      </c>
      <c r="Q3" s="19" t="s">
        <v>39</v>
      </c>
      <c r="R3" s="19" t="s">
        <v>6</v>
      </c>
      <c r="S3" s="19" t="s">
        <v>19</v>
      </c>
      <c r="T3" s="19" t="s">
        <v>39</v>
      </c>
      <c r="U3" s="19" t="s">
        <v>6</v>
      </c>
      <c r="V3" s="19" t="s">
        <v>19</v>
      </c>
      <c r="W3" s="19" t="s">
        <v>39</v>
      </c>
      <c r="X3" s="19" t="s">
        <v>6</v>
      </c>
      <c r="Y3" s="19" t="s">
        <v>19</v>
      </c>
    </row>
    <row r="4" customFormat="false" ht="15" hidden="false" customHeight="true" outlineLevel="0" collapsed="false">
      <c r="A4" s="20" t="s">
        <v>132</v>
      </c>
      <c r="B4" s="21"/>
      <c r="C4" s="21"/>
      <c r="D4" s="22" t="n">
        <f aca="false">B4+C4</f>
        <v>0</v>
      </c>
      <c r="E4" s="21" t="n">
        <v>9588.28</v>
      </c>
      <c r="F4" s="21" t="n">
        <v>19176.56</v>
      </c>
      <c r="G4" s="22" t="n">
        <f aca="false">E4+F4</f>
        <v>28764.84</v>
      </c>
      <c r="H4" s="21" t="n">
        <v>19858.96</v>
      </c>
      <c r="I4" s="21" t="n">
        <v>17802</v>
      </c>
      <c r="J4" s="22" t="n">
        <f aca="false">H4+I4</f>
        <v>37660.96</v>
      </c>
      <c r="K4" s="21" t="n">
        <v>16218.6</v>
      </c>
      <c r="L4" s="21"/>
      <c r="M4" s="22" t="n">
        <f aca="false">K4+L4</f>
        <v>16218.6</v>
      </c>
      <c r="N4" s="21" t="n">
        <v>29133.384</v>
      </c>
      <c r="O4" s="21" t="n">
        <v>2940</v>
      </c>
      <c r="P4" s="22" t="n">
        <f aca="false">N4+O4</f>
        <v>32073.384</v>
      </c>
      <c r="Q4" s="21" t="n">
        <v>30206.19</v>
      </c>
      <c r="R4" s="21"/>
      <c r="S4" s="22" t="n">
        <f aca="false">Q4+R4</f>
        <v>30206.19</v>
      </c>
      <c r="T4" s="21" t="n">
        <v>41095.404</v>
      </c>
      <c r="U4" s="21"/>
      <c r="V4" s="22" t="n">
        <f aca="false">T4+U4</f>
        <v>41095.404</v>
      </c>
      <c r="W4" s="23" t="n">
        <f aca="false">B4+E4+H4+K4+N4+Q4+T4</f>
        <v>146100.818</v>
      </c>
      <c r="X4" s="24" t="n">
        <f aca="false">C4+F4+I4+L4+O4+R4+U4</f>
        <v>39918.56</v>
      </c>
      <c r="Y4" s="25" t="n">
        <f aca="false">W4+X4</f>
        <v>186019.378</v>
      </c>
    </row>
    <row r="5" customFormat="false" ht="15" hidden="false" customHeight="true" outlineLevel="0" collapsed="false">
      <c r="A5" s="20" t="s">
        <v>133</v>
      </c>
      <c r="B5" s="21" t="n">
        <v>18000</v>
      </c>
      <c r="C5" s="21" t="n">
        <v>9000</v>
      </c>
      <c r="D5" s="22" t="n">
        <f aca="false">B5+C5</f>
        <v>27000</v>
      </c>
      <c r="E5" s="21"/>
      <c r="F5" s="21" t="n">
        <v>27000</v>
      </c>
      <c r="G5" s="22" t="n">
        <f aca="false">E5+F5</f>
        <v>27000</v>
      </c>
      <c r="H5" s="21"/>
      <c r="I5" s="21"/>
      <c r="J5" s="22" t="n">
        <f aca="false">H5+I5</f>
        <v>0</v>
      </c>
      <c r="K5" s="21"/>
      <c r="L5" s="21"/>
      <c r="M5" s="22" t="n">
        <f aca="false">K5+L5</f>
        <v>0</v>
      </c>
      <c r="N5" s="21"/>
      <c r="O5" s="21"/>
      <c r="P5" s="22" t="n">
        <f aca="false">N5+O5</f>
        <v>0</v>
      </c>
      <c r="Q5" s="21" t="n">
        <v>8952.3</v>
      </c>
      <c r="R5" s="21"/>
      <c r="S5" s="22" t="n">
        <f aca="false">Q5+R5</f>
        <v>8952.3</v>
      </c>
      <c r="T5" s="21" t="n">
        <v>8952.3</v>
      </c>
      <c r="U5" s="21" t="n">
        <v>8952.3</v>
      </c>
      <c r="V5" s="22" t="n">
        <f aca="false">T5+U5</f>
        <v>17904.6</v>
      </c>
      <c r="W5" s="23" t="n">
        <f aca="false">B5+E5+H5+K5+N5+Q5+T5</f>
        <v>35904.6</v>
      </c>
      <c r="X5" s="24" t="n">
        <f aca="false">C5+F5+I5+L5+O5+R5+U5</f>
        <v>44952.3</v>
      </c>
      <c r="Y5" s="25" t="n">
        <f aca="false">W5+X5</f>
        <v>80856.9</v>
      </c>
    </row>
    <row r="6" customFormat="false" ht="15" hidden="false" customHeight="true" outlineLevel="0" collapsed="false">
      <c r="A6" s="20" t="s">
        <v>134</v>
      </c>
      <c r="B6" s="21" t="n">
        <v>6000</v>
      </c>
      <c r="C6" s="21" t="n">
        <v>3000</v>
      </c>
      <c r="D6" s="22" t="n">
        <f aca="false">B6+C6</f>
        <v>9000</v>
      </c>
      <c r="E6" s="21" t="n">
        <v>8352</v>
      </c>
      <c r="F6" s="21" t="n">
        <v>14136</v>
      </c>
      <c r="G6" s="22" t="n">
        <f aca="false">E6+F6</f>
        <v>22488</v>
      </c>
      <c r="H6" s="21"/>
      <c r="I6" s="21"/>
      <c r="J6" s="22" t="n">
        <f aca="false">H6+I6</f>
        <v>0</v>
      </c>
      <c r="K6" s="21"/>
      <c r="L6" s="21"/>
      <c r="M6" s="22" t="n">
        <f aca="false">K6+L6</f>
        <v>0</v>
      </c>
      <c r="N6" s="21" t="n">
        <v>3828</v>
      </c>
      <c r="O6" s="21"/>
      <c r="P6" s="22" t="n">
        <f aca="false">N6+O6</f>
        <v>3828</v>
      </c>
      <c r="Q6" s="21" t="n">
        <v>5568</v>
      </c>
      <c r="R6" s="21" t="n">
        <v>5568</v>
      </c>
      <c r="S6" s="22" t="n">
        <f aca="false">Q6+R6</f>
        <v>11136</v>
      </c>
      <c r="T6" s="21"/>
      <c r="U6" s="21" t="n">
        <v>7772</v>
      </c>
      <c r="V6" s="22" t="n">
        <f aca="false">T6+U6</f>
        <v>7772</v>
      </c>
      <c r="W6" s="23" t="n">
        <f aca="false">B6+E6+H6+K6+N6+Q6+T6</f>
        <v>23748</v>
      </c>
      <c r="X6" s="24" t="n">
        <f aca="false">C6+F6+I6+L6+O6+R6+U6</f>
        <v>30476</v>
      </c>
      <c r="Y6" s="25" t="n">
        <f aca="false">W6+X6</f>
        <v>54224</v>
      </c>
    </row>
    <row r="7" customFormat="false" ht="15" hidden="false" customHeight="true" outlineLevel="0" collapsed="false">
      <c r="A7" s="20" t="s">
        <v>135</v>
      </c>
      <c r="B7" s="21"/>
      <c r="C7" s="21"/>
      <c r="D7" s="22" t="n">
        <f aca="false">B7+C7</f>
        <v>0</v>
      </c>
      <c r="E7" s="21"/>
      <c r="F7" s="21"/>
      <c r="G7" s="22" t="n">
        <f aca="false">E7+F7</f>
        <v>0</v>
      </c>
      <c r="H7" s="21"/>
      <c r="I7" s="21"/>
      <c r="J7" s="22" t="n">
        <f aca="false">H7+I7</f>
        <v>0</v>
      </c>
      <c r="K7" s="21"/>
      <c r="L7" s="21"/>
      <c r="M7" s="22" t="n">
        <f aca="false">K7+L7</f>
        <v>0</v>
      </c>
      <c r="N7" s="21"/>
      <c r="O7" s="21"/>
      <c r="P7" s="22" t="n">
        <f aca="false">N7+O7</f>
        <v>0</v>
      </c>
      <c r="Q7" s="21" t="n">
        <v>14500</v>
      </c>
      <c r="R7" s="21" t="n">
        <v>30000</v>
      </c>
      <c r="S7" s="22" t="n">
        <f aca="false">Q7+R7</f>
        <v>44500</v>
      </c>
      <c r="T7" s="21"/>
      <c r="U7" s="21" t="n">
        <v>15000</v>
      </c>
      <c r="V7" s="22" t="n">
        <f aca="false">T7+U7</f>
        <v>15000</v>
      </c>
      <c r="W7" s="23" t="n">
        <f aca="false">B7+E7+H7+K7+N7+Q7+T7</f>
        <v>14500</v>
      </c>
      <c r="X7" s="24" t="n">
        <f aca="false">C7+F7+I7+L7+O7+R7+U7</f>
        <v>45000</v>
      </c>
      <c r="Y7" s="25" t="n">
        <f aca="false">W7+X7</f>
        <v>59500</v>
      </c>
    </row>
    <row r="8" customFormat="false" ht="15" hidden="false" customHeight="true" outlineLevel="0" collapsed="false">
      <c r="A8" s="20" t="s">
        <v>136</v>
      </c>
      <c r="B8" s="21"/>
      <c r="C8" s="21"/>
      <c r="D8" s="22" t="n">
        <f aca="false">B8+C8</f>
        <v>0</v>
      </c>
      <c r="E8" s="21" t="n">
        <v>12000</v>
      </c>
      <c r="F8" s="21"/>
      <c r="G8" s="22" t="n">
        <f aca="false">E8+F8</f>
        <v>12000</v>
      </c>
      <c r="H8" s="21"/>
      <c r="I8" s="21"/>
      <c r="J8" s="22" t="n">
        <f aca="false">H8+I8</f>
        <v>0</v>
      </c>
      <c r="K8" s="21"/>
      <c r="L8" s="21"/>
      <c r="M8" s="22" t="n">
        <f aca="false">K8+L8</f>
        <v>0</v>
      </c>
      <c r="N8" s="21"/>
      <c r="O8" s="21"/>
      <c r="P8" s="22" t="n">
        <f aca="false">N8+O8</f>
        <v>0</v>
      </c>
      <c r="Q8" s="21"/>
      <c r="R8" s="21"/>
      <c r="S8" s="22" t="n">
        <f aca="false">Q8+R8</f>
        <v>0</v>
      </c>
      <c r="T8" s="21"/>
      <c r="U8" s="21"/>
      <c r="V8" s="22" t="n">
        <f aca="false">T8+U8</f>
        <v>0</v>
      </c>
      <c r="W8" s="23" t="n">
        <f aca="false">B8+E8+H8+K8+N8+Q8+T8</f>
        <v>12000</v>
      </c>
      <c r="X8" s="24" t="n">
        <f aca="false">C8+F8+I8+L8+O8+R8+U8</f>
        <v>0</v>
      </c>
      <c r="Y8" s="25" t="n">
        <f aca="false">W8+X8</f>
        <v>12000</v>
      </c>
    </row>
    <row r="9" customFormat="false" ht="15" hidden="false" customHeight="true" outlineLevel="0" collapsed="false">
      <c r="A9" s="20" t="s">
        <v>137</v>
      </c>
      <c r="B9" s="21"/>
      <c r="C9" s="21"/>
      <c r="D9" s="22" t="n">
        <f aca="false">B9+C9</f>
        <v>0</v>
      </c>
      <c r="E9" s="21" t="n">
        <v>3014.2</v>
      </c>
      <c r="F9" s="21"/>
      <c r="G9" s="22" t="n">
        <f aca="false">E9+F9</f>
        <v>3014.2</v>
      </c>
      <c r="H9" s="21"/>
      <c r="I9" s="21"/>
      <c r="J9" s="22" t="n">
        <f aca="false">H9+I9</f>
        <v>0</v>
      </c>
      <c r="K9" s="21"/>
      <c r="L9" s="21"/>
      <c r="M9" s="22" t="n">
        <f aca="false">K9+L9</f>
        <v>0</v>
      </c>
      <c r="N9" s="21"/>
      <c r="O9" s="21"/>
      <c r="P9" s="22" t="n">
        <f aca="false">N9+O9</f>
        <v>0</v>
      </c>
      <c r="Q9" s="21" t="n">
        <v>2277.13</v>
      </c>
      <c r="R9" s="21"/>
      <c r="S9" s="22" t="n">
        <f aca="false">Q9+R9</f>
        <v>2277.13</v>
      </c>
      <c r="T9" s="21" t="n">
        <v>6086.26</v>
      </c>
      <c r="U9" s="21" t="n">
        <v>6086.26</v>
      </c>
      <c r="V9" s="22" t="n">
        <f aca="false">T9+U9</f>
        <v>12172.52</v>
      </c>
      <c r="W9" s="23" t="n">
        <f aca="false">B9+E9+H9+K9+N9+Q9+T9</f>
        <v>11377.59</v>
      </c>
      <c r="X9" s="24" t="n">
        <f aca="false">C9+F9+I9+L9+O9+R9+U9</f>
        <v>6086.26</v>
      </c>
      <c r="Y9" s="25" t="n">
        <f aca="false">W9+X9</f>
        <v>17463.85</v>
      </c>
    </row>
    <row r="10" customFormat="false" ht="15" hidden="false" customHeight="true" outlineLevel="0" collapsed="false">
      <c r="A10" s="20" t="s">
        <v>138</v>
      </c>
      <c r="B10" s="21"/>
      <c r="C10" s="21"/>
      <c r="D10" s="22" t="n">
        <f aca="false">B10+C10</f>
        <v>0</v>
      </c>
      <c r="E10" s="21" t="n">
        <v>10000</v>
      </c>
      <c r="F10" s="21"/>
      <c r="G10" s="22" t="n">
        <f aca="false">E10+F10</f>
        <v>10000</v>
      </c>
      <c r="H10" s="21"/>
      <c r="I10" s="21"/>
      <c r="J10" s="22" t="n">
        <f aca="false">H10+I10</f>
        <v>0</v>
      </c>
      <c r="K10" s="21"/>
      <c r="L10" s="21"/>
      <c r="M10" s="22" t="n">
        <f aca="false">K10+L10</f>
        <v>0</v>
      </c>
      <c r="N10" s="21"/>
      <c r="O10" s="21"/>
      <c r="P10" s="22" t="n">
        <f aca="false">N10+O10</f>
        <v>0</v>
      </c>
      <c r="Q10" s="21"/>
      <c r="R10" s="21"/>
      <c r="S10" s="22" t="n">
        <f aca="false">Q10+R10</f>
        <v>0</v>
      </c>
      <c r="T10" s="21"/>
      <c r="U10" s="21"/>
      <c r="V10" s="22" t="n">
        <f aca="false">T10+U10</f>
        <v>0</v>
      </c>
      <c r="W10" s="23" t="n">
        <f aca="false">B10+E10+H10+K10+N10+Q10+T10</f>
        <v>10000</v>
      </c>
      <c r="X10" s="24" t="n">
        <f aca="false">C10+F10+I10+L10+O10+R10+U10</f>
        <v>0</v>
      </c>
      <c r="Y10" s="25" t="n">
        <f aca="false">W10+X10</f>
        <v>10000</v>
      </c>
    </row>
    <row r="11" customFormat="false" ht="15" hidden="false" customHeight="true" outlineLevel="0" collapsed="false">
      <c r="A11" s="20" t="s">
        <v>139</v>
      </c>
      <c r="B11" s="21"/>
      <c r="C11" s="21"/>
      <c r="D11" s="22" t="n">
        <f aca="false">B11+C11</f>
        <v>0</v>
      </c>
      <c r="E11" s="21"/>
      <c r="F11" s="21"/>
      <c r="G11" s="22" t="n">
        <f aca="false">E11+F11</f>
        <v>0</v>
      </c>
      <c r="H11" s="21"/>
      <c r="I11" s="21" t="n">
        <v>12396.2</v>
      </c>
      <c r="J11" s="22" t="n">
        <f aca="false">H11+I11</f>
        <v>12396.2</v>
      </c>
      <c r="K11" s="21"/>
      <c r="L11" s="21"/>
      <c r="M11" s="22" t="n">
        <f aca="false">K11+L11</f>
        <v>0</v>
      </c>
      <c r="N11" s="21"/>
      <c r="O11" s="21"/>
      <c r="P11" s="22" t="n">
        <f aca="false">N11+O11</f>
        <v>0</v>
      </c>
      <c r="Q11" s="21"/>
      <c r="R11" s="21" t="n">
        <v>14250.6</v>
      </c>
      <c r="S11" s="22" t="n">
        <f aca="false">Q11+R11</f>
        <v>14250.6</v>
      </c>
      <c r="T11" s="21" t="n">
        <v>6042.2</v>
      </c>
      <c r="U11" s="21"/>
      <c r="V11" s="22" t="n">
        <f aca="false">T11+U11</f>
        <v>6042.2</v>
      </c>
      <c r="W11" s="23" t="n">
        <f aca="false">B11+E11+H11+K11+N11+Q11+T11</f>
        <v>6042.2</v>
      </c>
      <c r="X11" s="24" t="n">
        <f aca="false">C11+F11+I11+L11+O11+R11+U11</f>
        <v>26646.8</v>
      </c>
      <c r="Y11" s="25" t="n">
        <f aca="false">W11+X11</f>
        <v>32689</v>
      </c>
    </row>
    <row r="12" customFormat="false" ht="15" hidden="false" customHeight="true" outlineLevel="0" collapsed="false">
      <c r="A12" s="20" t="s">
        <v>140</v>
      </c>
      <c r="B12" s="21"/>
      <c r="C12" s="21"/>
      <c r="D12" s="22" t="n">
        <f aca="false">B12+C12</f>
        <v>0</v>
      </c>
      <c r="E12" s="21"/>
      <c r="F12" s="21"/>
      <c r="G12" s="22" t="n">
        <f aca="false">E12+F12</f>
        <v>0</v>
      </c>
      <c r="H12" s="21"/>
      <c r="I12" s="21"/>
      <c r="J12" s="22" t="n">
        <f aca="false">H12+I12</f>
        <v>0</v>
      </c>
      <c r="K12" s="21"/>
      <c r="L12" s="21"/>
      <c r="M12" s="22" t="n">
        <f aca="false">K12+L12</f>
        <v>0</v>
      </c>
      <c r="N12" s="21"/>
      <c r="O12" s="21"/>
      <c r="P12" s="22" t="n">
        <f aca="false">N12+O12</f>
        <v>0</v>
      </c>
      <c r="Q12" s="21" t="n">
        <v>2900</v>
      </c>
      <c r="R12" s="21"/>
      <c r="S12" s="22" t="n">
        <f aca="false">Q12+R12</f>
        <v>2900</v>
      </c>
      <c r="T12" s="21"/>
      <c r="U12" s="21"/>
      <c r="V12" s="22" t="n">
        <f aca="false">T12+U12</f>
        <v>0</v>
      </c>
      <c r="W12" s="23" t="n">
        <f aca="false">B12+E12+H12+K12+N12+Q12+T12</f>
        <v>2900</v>
      </c>
      <c r="X12" s="24" t="n">
        <f aca="false">C12+F12+I12+L12+O12+R12+U12</f>
        <v>0</v>
      </c>
      <c r="Y12" s="25" t="n">
        <f aca="false">W12+X12</f>
        <v>2900</v>
      </c>
    </row>
    <row r="13" customFormat="false" ht="15" hidden="false" customHeight="true" outlineLevel="0" collapsed="false">
      <c r="A13" s="20" t="s">
        <v>141</v>
      </c>
      <c r="B13" s="21"/>
      <c r="C13" s="21"/>
      <c r="D13" s="22" t="n">
        <f aca="false">B13+C13</f>
        <v>0</v>
      </c>
      <c r="E13" s="21"/>
      <c r="F13" s="21"/>
      <c r="G13" s="22" t="n">
        <f aca="false">E13+F13</f>
        <v>0</v>
      </c>
      <c r="H13" s="21"/>
      <c r="I13" s="21"/>
      <c r="J13" s="22" t="n">
        <f aca="false">H13+I13</f>
        <v>0</v>
      </c>
      <c r="K13" s="21"/>
      <c r="L13" s="21"/>
      <c r="M13" s="22" t="n">
        <f aca="false">K13+L13</f>
        <v>0</v>
      </c>
      <c r="N13" s="21"/>
      <c r="O13" s="21"/>
      <c r="P13" s="22" t="n">
        <f aca="false">N13+O13</f>
        <v>0</v>
      </c>
      <c r="Q13" s="21" t="n">
        <v>2516.21</v>
      </c>
      <c r="R13" s="21"/>
      <c r="S13" s="22" t="n">
        <f aca="false">Q13+R13</f>
        <v>2516.21</v>
      </c>
      <c r="T13" s="21"/>
      <c r="U13" s="21"/>
      <c r="V13" s="22" t="n">
        <f aca="false">T13+U13</f>
        <v>0</v>
      </c>
      <c r="W13" s="23" t="n">
        <f aca="false">B13+E13+H13+K13+N13+Q13+T13</f>
        <v>2516.21</v>
      </c>
      <c r="X13" s="24" t="n">
        <f aca="false">C13+F13+I13+L13+O13+R13+U13</f>
        <v>0</v>
      </c>
      <c r="Y13" s="25" t="n">
        <f aca="false">W13+X13</f>
        <v>2516.21</v>
      </c>
    </row>
    <row r="14" customFormat="false" ht="15" hidden="false" customHeight="true" outlineLevel="0" collapsed="false">
      <c r="A14" s="20" t="s">
        <v>142</v>
      </c>
      <c r="B14" s="21"/>
      <c r="C14" s="21"/>
      <c r="D14" s="22" t="n">
        <f aca="false">B14+C14</f>
        <v>0</v>
      </c>
      <c r="E14" s="21" t="n">
        <v>2000</v>
      </c>
      <c r="F14" s="21"/>
      <c r="G14" s="22" t="n">
        <f aca="false">E14+F14</f>
        <v>2000</v>
      </c>
      <c r="H14" s="21"/>
      <c r="I14" s="21"/>
      <c r="J14" s="22" t="n">
        <f aca="false">H14+I14</f>
        <v>0</v>
      </c>
      <c r="K14" s="21"/>
      <c r="L14" s="21"/>
      <c r="M14" s="22" t="n">
        <f aca="false">K14+L14</f>
        <v>0</v>
      </c>
      <c r="N14" s="21"/>
      <c r="O14" s="21"/>
      <c r="P14" s="22" t="n">
        <f aca="false">N14+O14</f>
        <v>0</v>
      </c>
      <c r="Q14" s="21"/>
      <c r="R14" s="21"/>
      <c r="S14" s="22" t="n">
        <f aca="false">Q14+R14</f>
        <v>0</v>
      </c>
      <c r="T14" s="21"/>
      <c r="U14" s="21"/>
      <c r="V14" s="22" t="n">
        <f aca="false">T14+U14</f>
        <v>0</v>
      </c>
      <c r="W14" s="23" t="n">
        <f aca="false">B14+E14+H14+K14+N14+Q14+T14</f>
        <v>2000</v>
      </c>
      <c r="X14" s="24" t="n">
        <f aca="false">C14+F14+I14+L14+O14+R14+U14</f>
        <v>0</v>
      </c>
      <c r="Y14" s="25" t="n">
        <f aca="false">W14+X14</f>
        <v>2000</v>
      </c>
    </row>
    <row r="15" customFormat="false" ht="15" hidden="false" customHeight="true" outlineLevel="0" collapsed="false">
      <c r="A15" s="20" t="s">
        <v>143</v>
      </c>
      <c r="B15" s="21"/>
      <c r="C15" s="21"/>
      <c r="D15" s="22" t="n">
        <f aca="false">B15+C15</f>
        <v>0</v>
      </c>
      <c r="E15" s="21"/>
      <c r="F15" s="21"/>
      <c r="G15" s="22" t="n">
        <f aca="false">E15+F15</f>
        <v>0</v>
      </c>
      <c r="H15" s="21"/>
      <c r="I15" s="21"/>
      <c r="J15" s="22" t="n">
        <f aca="false">H15+I15</f>
        <v>0</v>
      </c>
      <c r="K15" s="21"/>
      <c r="L15" s="21"/>
      <c r="M15" s="22" t="n">
        <f aca="false">K15+L15</f>
        <v>0</v>
      </c>
      <c r="N15" s="21"/>
      <c r="O15" s="21"/>
      <c r="P15" s="22" t="n">
        <f aca="false">N15+O15</f>
        <v>0</v>
      </c>
      <c r="Q15" s="21"/>
      <c r="R15" s="21"/>
      <c r="S15" s="22" t="n">
        <f aca="false">Q15+R15</f>
        <v>0</v>
      </c>
      <c r="T15" s="21"/>
      <c r="U15" s="21" t="n">
        <v>17904.6</v>
      </c>
      <c r="V15" s="22" t="n">
        <f aca="false">T15+U15</f>
        <v>17904.6</v>
      </c>
      <c r="W15" s="23" t="n">
        <f aca="false">B15+E15+H15+K15+N15+Q15+T15</f>
        <v>0</v>
      </c>
      <c r="X15" s="24" t="n">
        <f aca="false">C15+F15+I15+L15+O15+R15+U15</f>
        <v>17904.6</v>
      </c>
      <c r="Y15" s="25" t="n">
        <f aca="false">W15+X15</f>
        <v>17904.6</v>
      </c>
    </row>
    <row r="16" customFormat="false" ht="15" hidden="false" customHeight="true" outlineLevel="0" collapsed="false">
      <c r="A16" s="20" t="s">
        <v>144</v>
      </c>
      <c r="B16" s="21"/>
      <c r="C16" s="21" t="n">
        <v>3000</v>
      </c>
      <c r="D16" s="22" t="n">
        <f aca="false">B16+C16</f>
        <v>3000</v>
      </c>
      <c r="E16" s="21"/>
      <c r="F16" s="21"/>
      <c r="G16" s="22" t="n">
        <f aca="false">E16+F16</f>
        <v>0</v>
      </c>
      <c r="H16" s="21"/>
      <c r="I16" s="21"/>
      <c r="J16" s="22" t="n">
        <f aca="false">H16+I16</f>
        <v>0</v>
      </c>
      <c r="K16" s="21"/>
      <c r="L16" s="21"/>
      <c r="M16" s="22" t="n">
        <f aca="false">K16+L16</f>
        <v>0</v>
      </c>
      <c r="N16" s="21"/>
      <c r="O16" s="21"/>
      <c r="P16" s="22" t="n">
        <f aca="false">N16+O16</f>
        <v>0</v>
      </c>
      <c r="Q16" s="21"/>
      <c r="R16" s="21"/>
      <c r="S16" s="22" t="n">
        <f aca="false">Q16+R16</f>
        <v>0</v>
      </c>
      <c r="T16" s="21"/>
      <c r="U16" s="21"/>
      <c r="V16" s="22" t="n">
        <f aca="false">T16+U16</f>
        <v>0</v>
      </c>
      <c r="W16" s="23" t="n">
        <f aca="false">B16+E16+H16+K16+N16+Q16+T16</f>
        <v>0</v>
      </c>
      <c r="X16" s="24" t="n">
        <f aca="false">C16+F16+I16+L16+O16+R16+U16</f>
        <v>3000</v>
      </c>
      <c r="Y16" s="25" t="n">
        <f aca="false">W16+X16</f>
        <v>3000</v>
      </c>
    </row>
    <row r="17" customFormat="false" ht="15" hidden="false" customHeight="true" outlineLevel="0" collapsed="false">
      <c r="A17" s="20" t="s">
        <v>145</v>
      </c>
      <c r="B17" s="21"/>
      <c r="C17" s="21"/>
      <c r="D17" s="22" t="n">
        <f aca="false">B17+C17</f>
        <v>0</v>
      </c>
      <c r="E17" s="21"/>
      <c r="F17" s="21"/>
      <c r="G17" s="22" t="n">
        <f aca="false">E17+F17</f>
        <v>0</v>
      </c>
      <c r="H17" s="21"/>
      <c r="I17" s="21"/>
      <c r="J17" s="22" t="n">
        <f aca="false">H17+I17</f>
        <v>0</v>
      </c>
      <c r="K17" s="21"/>
      <c r="L17" s="21"/>
      <c r="M17" s="22" t="n">
        <f aca="false">K17+L17</f>
        <v>0</v>
      </c>
      <c r="N17" s="21"/>
      <c r="O17" s="21"/>
      <c r="P17" s="22" t="n">
        <f aca="false">N17+O17</f>
        <v>0</v>
      </c>
      <c r="Q17" s="21"/>
      <c r="R17" s="21"/>
      <c r="S17" s="22" t="n">
        <f aca="false">Q17+R17</f>
        <v>0</v>
      </c>
      <c r="T17" s="21"/>
      <c r="U17" s="21" t="n">
        <v>3886</v>
      </c>
      <c r="V17" s="22" t="n">
        <f aca="false">T17+U17</f>
        <v>3886</v>
      </c>
      <c r="W17" s="23" t="n">
        <f aca="false">B17+E17+H17+K17+N17+Q17+T17</f>
        <v>0</v>
      </c>
      <c r="X17" s="24" t="n">
        <f aca="false">C17+F17+I17+L17+O17+R17+U17</f>
        <v>3886</v>
      </c>
      <c r="Y17" s="25" t="n">
        <f aca="false">W17+X17</f>
        <v>3886</v>
      </c>
    </row>
    <row r="18" customFormat="false" ht="15" hidden="false" customHeight="true" outlineLevel="0" collapsed="false">
      <c r="A18" s="20" t="s">
        <v>146</v>
      </c>
      <c r="B18" s="21"/>
      <c r="C18" s="21" t="n">
        <v>7500</v>
      </c>
      <c r="D18" s="22" t="n">
        <f aca="false">B18+C18</f>
        <v>7500</v>
      </c>
      <c r="E18" s="21"/>
      <c r="F18" s="21" t="n">
        <v>12500</v>
      </c>
      <c r="G18" s="22" t="n">
        <f aca="false">E18+F18</f>
        <v>12500</v>
      </c>
      <c r="H18" s="21"/>
      <c r="I18" s="21"/>
      <c r="J18" s="22" t="n">
        <f aca="false">H18+I18</f>
        <v>0</v>
      </c>
      <c r="K18" s="21"/>
      <c r="L18" s="21"/>
      <c r="M18" s="22" t="n">
        <f aca="false">K18+L18</f>
        <v>0</v>
      </c>
      <c r="N18" s="21"/>
      <c r="O18" s="21"/>
      <c r="P18" s="22" t="n">
        <f aca="false">N18+O18</f>
        <v>0</v>
      </c>
      <c r="Q18" s="21"/>
      <c r="R18" s="21"/>
      <c r="S18" s="22" t="n">
        <f aca="false">Q18+R18</f>
        <v>0</v>
      </c>
      <c r="T18" s="21"/>
      <c r="U18" s="21"/>
      <c r="V18" s="22" t="n">
        <f aca="false">T18+U18</f>
        <v>0</v>
      </c>
      <c r="W18" s="23" t="n">
        <f aca="false">B18+E18+H18+K18+N18+Q18+T18</f>
        <v>0</v>
      </c>
      <c r="X18" s="24" t="n">
        <f aca="false">C18+F18+I18+L18+O18+R18+U18</f>
        <v>20000</v>
      </c>
      <c r="Y18" s="25" t="n">
        <f aca="false">W18+X18</f>
        <v>20000</v>
      </c>
    </row>
    <row r="19" customFormat="false" ht="16.5" hidden="false" customHeight="true" outlineLevel="0" collapsed="false">
      <c r="A19" s="26" t="s">
        <v>147</v>
      </c>
      <c r="B19" s="27" t="n">
        <f aca="false">SUM(B4:B18)</f>
        <v>24000</v>
      </c>
      <c r="C19" s="27" t="n">
        <f aca="false">SUM(C4:C18)</f>
        <v>22500</v>
      </c>
      <c r="D19" s="27" t="n">
        <f aca="false">SUM(D4:D18)</f>
        <v>46500</v>
      </c>
      <c r="E19" s="27" t="n">
        <f aca="false">SUM(E4:E18)</f>
        <v>44954.48</v>
      </c>
      <c r="F19" s="27" t="n">
        <f aca="false">SUM(F4:F18)</f>
        <v>72812.56</v>
      </c>
      <c r="G19" s="27" t="n">
        <f aca="false">SUM(G4:G18)</f>
        <v>117767.04</v>
      </c>
      <c r="H19" s="27" t="n">
        <f aca="false">SUM(H4:H18)</f>
        <v>19858.96</v>
      </c>
      <c r="I19" s="27" t="n">
        <f aca="false">SUM(I4:I18)</f>
        <v>30198.2</v>
      </c>
      <c r="J19" s="27" t="n">
        <f aca="false">SUM(J4:J18)</f>
        <v>50057.16</v>
      </c>
      <c r="K19" s="27" t="n">
        <f aca="false">SUM(K4:K18)</f>
        <v>16218.6</v>
      </c>
      <c r="L19" s="27" t="n">
        <f aca="false">SUM(L4:L18)</f>
        <v>0</v>
      </c>
      <c r="M19" s="27" t="n">
        <f aca="false">SUM(M4:M18)</f>
        <v>16218.6</v>
      </c>
      <c r="N19" s="27" t="n">
        <f aca="false">SUM(N4:N18)</f>
        <v>32961.384</v>
      </c>
      <c r="O19" s="27" t="n">
        <f aca="false">SUM(O4:O18)</f>
        <v>2940</v>
      </c>
      <c r="P19" s="27" t="n">
        <f aca="false">SUM(P4:P18)</f>
        <v>35901.384</v>
      </c>
      <c r="Q19" s="27" t="n">
        <f aca="false">SUM(Q4:Q18)</f>
        <v>66919.83</v>
      </c>
      <c r="R19" s="27" t="n">
        <f aca="false">SUM(R4:R18)</f>
        <v>49818.6</v>
      </c>
      <c r="S19" s="27" t="n">
        <f aca="false">SUM(S4:S18)</f>
        <v>116738.43</v>
      </c>
      <c r="T19" s="27" t="n">
        <f aca="false">SUM(T4:T18)</f>
        <v>62176.164</v>
      </c>
      <c r="U19" s="27" t="n">
        <f aca="false">SUM(U4:U18)</f>
        <v>59601.16</v>
      </c>
      <c r="V19" s="27" t="n">
        <f aca="false">SUM(V4:V18)</f>
        <v>121777.324</v>
      </c>
      <c r="W19" s="27" t="n">
        <f aca="false">SUM(W4:W18)</f>
        <v>267089.418</v>
      </c>
      <c r="X19" s="27" t="n">
        <f aca="false">SUM(X4:X18)</f>
        <v>237870.52</v>
      </c>
      <c r="Y19" s="27" t="n">
        <f aca="false">SUM(Y4:Y18)</f>
        <v>504959.938</v>
      </c>
    </row>
  </sheetData>
  <mergeCells count="9">
    <mergeCell ref="A1:Y1"/>
    <mergeCell ref="B2:D2"/>
    <mergeCell ref="E2:G2"/>
    <mergeCell ref="H2:J2"/>
    <mergeCell ref="K2:M2"/>
    <mergeCell ref="N2:P2"/>
    <mergeCell ref="Q2:S2"/>
    <mergeCell ref="T2:V2"/>
    <mergeCell ref="W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5" min="23" style="0" width="13"/>
  </cols>
  <sheetData>
    <row r="1" customFormat="false" ht="24" hidden="false" customHeight="true" outlineLevel="0" collapsed="false">
      <c r="A1" s="10" t="s">
        <v>148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8" hidden="false" customHeight="true" outlineLevel="0" collapsed="false">
      <c r="A2" s="16" t="s">
        <v>38</v>
      </c>
      <c r="B2" s="17" t="s">
        <v>8</v>
      </c>
      <c r="C2" s="17"/>
      <c r="D2" s="17"/>
      <c r="E2" s="17" t="s">
        <v>9</v>
      </c>
      <c r="F2" s="17"/>
      <c r="G2" s="17"/>
      <c r="H2" s="17" t="s">
        <v>10</v>
      </c>
      <c r="I2" s="17"/>
      <c r="J2" s="17"/>
      <c r="K2" s="17" t="s">
        <v>11</v>
      </c>
      <c r="L2" s="17"/>
      <c r="M2" s="17"/>
      <c r="N2" s="17" t="s">
        <v>12</v>
      </c>
      <c r="O2" s="17"/>
      <c r="P2" s="17"/>
      <c r="Q2" s="17" t="s">
        <v>13</v>
      </c>
      <c r="R2" s="17"/>
      <c r="S2" s="17"/>
      <c r="T2" s="17" t="s">
        <v>14</v>
      </c>
      <c r="U2" s="17"/>
      <c r="V2" s="17"/>
      <c r="W2" s="17" t="s">
        <v>15</v>
      </c>
      <c r="X2" s="17"/>
      <c r="Y2" s="17"/>
    </row>
    <row r="3" customFormat="false" ht="15.75" hidden="false" customHeight="true" outlineLevel="0" collapsed="false">
      <c r="A3" s="18"/>
      <c r="B3" s="19" t="s">
        <v>39</v>
      </c>
      <c r="C3" s="19" t="s">
        <v>6</v>
      </c>
      <c r="D3" s="19" t="s">
        <v>19</v>
      </c>
      <c r="E3" s="19" t="s">
        <v>39</v>
      </c>
      <c r="F3" s="19" t="s">
        <v>6</v>
      </c>
      <c r="G3" s="19" t="s">
        <v>19</v>
      </c>
      <c r="H3" s="19" t="s">
        <v>39</v>
      </c>
      <c r="I3" s="19" t="s">
        <v>6</v>
      </c>
      <c r="J3" s="19" t="s">
        <v>19</v>
      </c>
      <c r="K3" s="19" t="s">
        <v>39</v>
      </c>
      <c r="L3" s="19" t="s">
        <v>6</v>
      </c>
      <c r="M3" s="19" t="s">
        <v>19</v>
      </c>
      <c r="N3" s="19" t="s">
        <v>39</v>
      </c>
      <c r="O3" s="19" t="s">
        <v>6</v>
      </c>
      <c r="P3" s="19" t="s">
        <v>19</v>
      </c>
      <c r="Q3" s="19" t="s">
        <v>39</v>
      </c>
      <c r="R3" s="19" t="s">
        <v>6</v>
      </c>
      <c r="S3" s="19" t="s">
        <v>19</v>
      </c>
      <c r="T3" s="19" t="s">
        <v>39</v>
      </c>
      <c r="U3" s="19" t="s">
        <v>6</v>
      </c>
      <c r="V3" s="19" t="s">
        <v>19</v>
      </c>
      <c r="W3" s="19" t="s">
        <v>39</v>
      </c>
      <c r="X3" s="19" t="s">
        <v>6</v>
      </c>
      <c r="Y3" s="19" t="s">
        <v>19</v>
      </c>
    </row>
    <row r="4" customFormat="false" ht="15" hidden="false" customHeight="true" outlineLevel="0" collapsed="false">
      <c r="A4" s="20" t="s">
        <v>149</v>
      </c>
      <c r="B4" s="21"/>
      <c r="C4" s="21"/>
      <c r="D4" s="22" t="n">
        <f aca="false">B4+C4</f>
        <v>0</v>
      </c>
      <c r="E4" s="21" t="n">
        <v>10000</v>
      </c>
      <c r="F4" s="21"/>
      <c r="G4" s="22" t="n">
        <f aca="false">E4+F4</f>
        <v>10000</v>
      </c>
      <c r="H4" s="21"/>
      <c r="I4" s="21" t="n">
        <v>10000</v>
      </c>
      <c r="J4" s="22" t="n">
        <f aca="false">H4+I4</f>
        <v>10000</v>
      </c>
      <c r="K4" s="21"/>
      <c r="L4" s="21"/>
      <c r="M4" s="22" t="n">
        <f aca="false">K4+L4</f>
        <v>0</v>
      </c>
      <c r="N4" s="21"/>
      <c r="O4" s="21"/>
      <c r="P4" s="22" t="n">
        <f aca="false">N4+O4</f>
        <v>0</v>
      </c>
      <c r="Q4" s="21" t="n">
        <v>32652.68</v>
      </c>
      <c r="R4" s="21"/>
      <c r="S4" s="22" t="n">
        <f aca="false">Q4+R4</f>
        <v>32652.68</v>
      </c>
      <c r="T4" s="21" t="n">
        <v>26453.74</v>
      </c>
      <c r="U4" s="21" t="n">
        <v>149593.54</v>
      </c>
      <c r="V4" s="22" t="n">
        <f aca="false">T4+U4</f>
        <v>176047.28</v>
      </c>
      <c r="W4" s="23" t="n">
        <f aca="false">B4+E4+H4+K4+N4+Q4+T4</f>
        <v>69106.42</v>
      </c>
      <c r="X4" s="24" t="n">
        <f aca="false">C4+F4+I4+L4+O4+R4+U4</f>
        <v>159593.54</v>
      </c>
      <c r="Y4" s="25" t="n">
        <f aca="false">W4+X4</f>
        <v>228699.96</v>
      </c>
    </row>
    <row r="5" customFormat="false" ht="15" hidden="false" customHeight="true" outlineLevel="0" collapsed="false">
      <c r="A5" s="20" t="s">
        <v>150</v>
      </c>
      <c r="B5" s="21"/>
      <c r="C5" s="21"/>
      <c r="D5" s="22" t="n">
        <f aca="false">B5+C5</f>
        <v>0</v>
      </c>
      <c r="E5" s="21"/>
      <c r="F5" s="21"/>
      <c r="G5" s="22" t="n">
        <f aca="false">E5+F5</f>
        <v>0</v>
      </c>
      <c r="H5" s="21" t="n">
        <v>30000</v>
      </c>
      <c r="I5" s="21" t="n">
        <v>10000</v>
      </c>
      <c r="J5" s="22" t="n">
        <f aca="false">H5+I5</f>
        <v>40000</v>
      </c>
      <c r="K5" s="21"/>
      <c r="L5" s="21" t="n">
        <v>120000</v>
      </c>
      <c r="M5" s="22" t="n">
        <f aca="false">K5+L5</f>
        <v>120000</v>
      </c>
      <c r="N5" s="21"/>
      <c r="O5" s="21" t="n">
        <v>125000</v>
      </c>
      <c r="P5" s="22" t="n">
        <f aca="false">N5+O5</f>
        <v>125000</v>
      </c>
      <c r="Q5" s="21"/>
      <c r="R5" s="21" t="n">
        <v>25000</v>
      </c>
      <c r="S5" s="22" t="n">
        <f aca="false">Q5+R5</f>
        <v>25000</v>
      </c>
      <c r="T5" s="21"/>
      <c r="U5" s="21"/>
      <c r="V5" s="22" t="n">
        <f aca="false">T5+U5</f>
        <v>0</v>
      </c>
      <c r="W5" s="23" t="n">
        <f aca="false">B5+E5+H5+K5+N5+Q5+T5</f>
        <v>30000</v>
      </c>
      <c r="X5" s="24" t="n">
        <f aca="false">C5+F5+I5+L5+O5+R5+U5</f>
        <v>280000</v>
      </c>
      <c r="Y5" s="25" t="n">
        <f aca="false">W5+X5</f>
        <v>310000</v>
      </c>
    </row>
    <row r="6" customFormat="false" ht="15" hidden="false" customHeight="true" outlineLevel="0" collapsed="false">
      <c r="A6" s="20" t="s">
        <v>151</v>
      </c>
      <c r="B6" s="21"/>
      <c r="C6" s="21"/>
      <c r="D6" s="22" t="n">
        <f aca="false">B6+C6</f>
        <v>0</v>
      </c>
      <c r="E6" s="21"/>
      <c r="F6" s="21"/>
      <c r="G6" s="22" t="n">
        <f aca="false">E6+F6</f>
        <v>0</v>
      </c>
      <c r="H6" s="21"/>
      <c r="I6" s="21"/>
      <c r="J6" s="22" t="n">
        <f aca="false">H6+I6</f>
        <v>0</v>
      </c>
      <c r="K6" s="21"/>
      <c r="L6" s="21"/>
      <c r="M6" s="22" t="n">
        <f aca="false">K6+L6</f>
        <v>0</v>
      </c>
      <c r="N6" s="21"/>
      <c r="O6" s="21"/>
      <c r="P6" s="22" t="n">
        <f aca="false">N6+O6</f>
        <v>0</v>
      </c>
      <c r="Q6" s="21" t="n">
        <v>9676.45</v>
      </c>
      <c r="R6" s="21"/>
      <c r="S6" s="22" t="n">
        <f aca="false">Q6+R6</f>
        <v>9676.45</v>
      </c>
      <c r="T6" s="21" t="n">
        <v>14685.06</v>
      </c>
      <c r="U6" s="21"/>
      <c r="V6" s="22" t="n">
        <f aca="false">T6+U6</f>
        <v>14685.06</v>
      </c>
      <c r="W6" s="23" t="n">
        <f aca="false">B6+E6+H6+K6+N6+Q6+T6</f>
        <v>24361.51</v>
      </c>
      <c r="X6" s="24" t="n">
        <f aca="false">C6+F6+I6+L6+O6+R6+U6</f>
        <v>0</v>
      </c>
      <c r="Y6" s="25" t="n">
        <f aca="false">W6+X6</f>
        <v>24361.51</v>
      </c>
    </row>
    <row r="7" customFormat="false" ht="15" hidden="false" customHeight="true" outlineLevel="0" collapsed="false">
      <c r="A7" s="20" t="s">
        <v>152</v>
      </c>
      <c r="B7" s="21" t="n">
        <v>17470</v>
      </c>
      <c r="C7" s="21"/>
      <c r="D7" s="22" t="n">
        <f aca="false">B7+C7</f>
        <v>17470</v>
      </c>
      <c r="E7" s="21"/>
      <c r="F7" s="21"/>
      <c r="G7" s="22" t="n">
        <f aca="false">E7+F7</f>
        <v>0</v>
      </c>
      <c r="H7" s="21"/>
      <c r="I7" s="21"/>
      <c r="J7" s="22" t="n">
        <f aca="false">H7+I7</f>
        <v>0</v>
      </c>
      <c r="K7" s="21"/>
      <c r="L7" s="21"/>
      <c r="M7" s="22" t="n">
        <f aca="false">K7+L7</f>
        <v>0</v>
      </c>
      <c r="N7" s="21"/>
      <c r="O7" s="21"/>
      <c r="P7" s="22" t="n">
        <f aca="false">N7+O7</f>
        <v>0</v>
      </c>
      <c r="Q7" s="21"/>
      <c r="R7" s="21"/>
      <c r="S7" s="22" t="n">
        <f aca="false">Q7+R7</f>
        <v>0</v>
      </c>
      <c r="T7" s="21"/>
      <c r="U7" s="21"/>
      <c r="V7" s="22" t="n">
        <f aca="false">T7+U7</f>
        <v>0</v>
      </c>
      <c r="W7" s="23" t="n">
        <f aca="false">B7+E7+H7+K7+N7+Q7+T7</f>
        <v>17470</v>
      </c>
      <c r="X7" s="24" t="n">
        <f aca="false">C7+F7+I7+L7+O7+R7+U7</f>
        <v>0</v>
      </c>
      <c r="Y7" s="25" t="n">
        <f aca="false">W7+X7</f>
        <v>17470</v>
      </c>
    </row>
    <row r="8" customFormat="false" ht="15" hidden="false" customHeight="true" outlineLevel="0" collapsed="false">
      <c r="A8" s="20" t="s">
        <v>153</v>
      </c>
      <c r="B8" s="21"/>
      <c r="C8" s="21"/>
      <c r="D8" s="22" t="n">
        <f aca="false">B8+C8</f>
        <v>0</v>
      </c>
      <c r="E8" s="21"/>
      <c r="F8" s="21"/>
      <c r="G8" s="22" t="n">
        <f aca="false">E8+F8</f>
        <v>0</v>
      </c>
      <c r="H8" s="21"/>
      <c r="I8" s="21"/>
      <c r="J8" s="22" t="n">
        <f aca="false">H8+I8</f>
        <v>0</v>
      </c>
      <c r="K8" s="21"/>
      <c r="L8" s="21"/>
      <c r="M8" s="22" t="n">
        <f aca="false">K8+L8</f>
        <v>0</v>
      </c>
      <c r="N8" s="21"/>
      <c r="O8" s="21"/>
      <c r="P8" s="22" t="n">
        <f aca="false">N8+O8</f>
        <v>0</v>
      </c>
      <c r="Q8" s="21"/>
      <c r="R8" s="21"/>
      <c r="S8" s="22" t="n">
        <f aca="false">Q8+R8</f>
        <v>0</v>
      </c>
      <c r="T8" s="21" t="n">
        <v>13428</v>
      </c>
      <c r="U8" s="21" t="n">
        <v>13428</v>
      </c>
      <c r="V8" s="22" t="n">
        <f aca="false">T8+U8</f>
        <v>26856</v>
      </c>
      <c r="W8" s="23" t="n">
        <f aca="false">B8+E8+H8+K8+N8+Q8+T8</f>
        <v>13428</v>
      </c>
      <c r="X8" s="24" t="n">
        <f aca="false">C8+F8+I8+L8+O8+R8+U8</f>
        <v>13428</v>
      </c>
      <c r="Y8" s="25" t="n">
        <f aca="false">W8+X8</f>
        <v>26856</v>
      </c>
    </row>
    <row r="9" customFormat="false" ht="15" hidden="false" customHeight="true" outlineLevel="0" collapsed="false">
      <c r="A9" s="20" t="s">
        <v>154</v>
      </c>
      <c r="B9" s="21"/>
      <c r="C9" s="21"/>
      <c r="D9" s="22" t="n">
        <f aca="false">B9+C9</f>
        <v>0</v>
      </c>
      <c r="E9" s="21"/>
      <c r="F9" s="21"/>
      <c r="G9" s="22" t="n">
        <f aca="false">E9+F9</f>
        <v>0</v>
      </c>
      <c r="H9" s="21"/>
      <c r="I9" s="21"/>
      <c r="J9" s="22" t="n">
        <f aca="false">H9+I9</f>
        <v>0</v>
      </c>
      <c r="K9" s="21"/>
      <c r="L9" s="21"/>
      <c r="M9" s="22" t="n">
        <f aca="false">K9+L9</f>
        <v>0</v>
      </c>
      <c r="N9" s="21"/>
      <c r="O9" s="21"/>
      <c r="P9" s="22" t="n">
        <f aca="false">N9+O9</f>
        <v>0</v>
      </c>
      <c r="Q9" s="21" t="n">
        <v>11600</v>
      </c>
      <c r="R9" s="21"/>
      <c r="S9" s="22" t="n">
        <f aca="false">Q9+R9</f>
        <v>11600</v>
      </c>
      <c r="T9" s="21"/>
      <c r="U9" s="21"/>
      <c r="V9" s="22" t="n">
        <f aca="false">T9+U9</f>
        <v>0</v>
      </c>
      <c r="W9" s="23" t="n">
        <f aca="false">B9+E9+H9+K9+N9+Q9+T9</f>
        <v>11600</v>
      </c>
      <c r="X9" s="24" t="n">
        <f aca="false">C9+F9+I9+L9+O9+R9+U9</f>
        <v>0</v>
      </c>
      <c r="Y9" s="25" t="n">
        <f aca="false">W9+X9</f>
        <v>11600</v>
      </c>
    </row>
    <row r="10" customFormat="false" ht="15" hidden="false" customHeight="true" outlineLevel="0" collapsed="false">
      <c r="A10" s="20" t="s">
        <v>155</v>
      </c>
      <c r="B10" s="21"/>
      <c r="C10" s="21"/>
      <c r="D10" s="22" t="n">
        <f aca="false">B10+C10</f>
        <v>0</v>
      </c>
      <c r="E10" s="21"/>
      <c r="F10" s="21"/>
      <c r="G10" s="22" t="n">
        <f aca="false">E10+F10</f>
        <v>0</v>
      </c>
      <c r="H10" s="21"/>
      <c r="I10" s="21"/>
      <c r="J10" s="22" t="n">
        <f aca="false">H10+I10</f>
        <v>0</v>
      </c>
      <c r="K10" s="21"/>
      <c r="L10" s="21"/>
      <c r="M10" s="22" t="n">
        <f aca="false">K10+L10</f>
        <v>0</v>
      </c>
      <c r="N10" s="21"/>
      <c r="O10" s="21"/>
      <c r="P10" s="22" t="n">
        <f aca="false">N10+O10</f>
        <v>0</v>
      </c>
      <c r="Q10" s="21"/>
      <c r="R10" s="21"/>
      <c r="S10" s="22" t="n">
        <f aca="false">Q10+R10</f>
        <v>0</v>
      </c>
      <c r="T10" s="21" t="n">
        <v>10801</v>
      </c>
      <c r="U10" s="21"/>
      <c r="V10" s="22" t="n">
        <f aca="false">T10+U10</f>
        <v>10801</v>
      </c>
      <c r="W10" s="23" t="n">
        <f aca="false">B10+E10+H10+K10+N10+Q10+T10</f>
        <v>10801</v>
      </c>
      <c r="X10" s="24" t="n">
        <f aca="false">C10+F10+I10+L10+O10+R10+U10</f>
        <v>0</v>
      </c>
      <c r="Y10" s="25" t="n">
        <f aca="false">W10+X10</f>
        <v>10801</v>
      </c>
    </row>
    <row r="11" customFormat="false" ht="15" hidden="false" customHeight="true" outlineLevel="0" collapsed="false">
      <c r="A11" s="20" t="s">
        <v>156</v>
      </c>
      <c r="B11" s="21"/>
      <c r="C11" s="21"/>
      <c r="D11" s="22" t="n">
        <f aca="false">B11+C11</f>
        <v>0</v>
      </c>
      <c r="E11" s="21"/>
      <c r="F11" s="21"/>
      <c r="G11" s="22" t="n">
        <f aca="false">E11+F11</f>
        <v>0</v>
      </c>
      <c r="H11" s="21"/>
      <c r="I11" s="21"/>
      <c r="J11" s="22" t="n">
        <f aca="false">H11+I11</f>
        <v>0</v>
      </c>
      <c r="K11" s="21"/>
      <c r="L11" s="21"/>
      <c r="M11" s="22" t="n">
        <f aca="false">K11+L11</f>
        <v>0</v>
      </c>
      <c r="N11" s="21"/>
      <c r="O11" s="21"/>
      <c r="P11" s="22" t="n">
        <f aca="false">N11+O11</f>
        <v>0</v>
      </c>
      <c r="Q11" s="21" t="n">
        <v>10000</v>
      </c>
      <c r="R11" s="21"/>
      <c r="S11" s="22" t="n">
        <f aca="false">Q11+R11</f>
        <v>10000</v>
      </c>
      <c r="T11" s="21"/>
      <c r="U11" s="21"/>
      <c r="V11" s="22" t="n">
        <f aca="false">T11+U11</f>
        <v>0</v>
      </c>
      <c r="W11" s="23" t="n">
        <f aca="false">B11+E11+H11+K11+N11+Q11+T11</f>
        <v>10000</v>
      </c>
      <c r="X11" s="24" t="n">
        <f aca="false">C11+F11+I11+L11+O11+R11+U11</f>
        <v>0</v>
      </c>
      <c r="Y11" s="25" t="n">
        <f aca="false">W11+X11</f>
        <v>10000</v>
      </c>
    </row>
    <row r="12" customFormat="false" ht="15" hidden="false" customHeight="true" outlineLevel="0" collapsed="false">
      <c r="A12" s="20" t="s">
        <v>157</v>
      </c>
      <c r="B12" s="21"/>
      <c r="C12" s="21"/>
      <c r="D12" s="22" t="n">
        <f aca="false">B12+C12</f>
        <v>0</v>
      </c>
      <c r="E12" s="21"/>
      <c r="F12" s="21"/>
      <c r="G12" s="22" t="n">
        <f aca="false">E12+F12</f>
        <v>0</v>
      </c>
      <c r="H12" s="21"/>
      <c r="I12" s="21"/>
      <c r="J12" s="22" t="n">
        <f aca="false">H12+I12</f>
        <v>0</v>
      </c>
      <c r="K12" s="21"/>
      <c r="L12" s="21"/>
      <c r="M12" s="22" t="n">
        <f aca="false">K12+L12</f>
        <v>0</v>
      </c>
      <c r="N12" s="21"/>
      <c r="O12" s="21"/>
      <c r="P12" s="22" t="n">
        <f aca="false">N12+O12</f>
        <v>0</v>
      </c>
      <c r="Q12" s="21"/>
      <c r="R12" s="21" t="n">
        <v>32000</v>
      </c>
      <c r="S12" s="22" t="n">
        <f aca="false">Q12+R12</f>
        <v>32000</v>
      </c>
      <c r="T12" s="21"/>
      <c r="U12" s="21"/>
      <c r="V12" s="22" t="n">
        <f aca="false">T12+U12</f>
        <v>0</v>
      </c>
      <c r="W12" s="23" t="n">
        <f aca="false">B12+E12+H12+K12+N12+Q12+T12</f>
        <v>0</v>
      </c>
      <c r="X12" s="24" t="n">
        <f aca="false">C12+F12+I12+L12+O12+R12+U12</f>
        <v>32000</v>
      </c>
      <c r="Y12" s="25" t="n">
        <f aca="false">W12+X12</f>
        <v>32000</v>
      </c>
    </row>
    <row r="13" customFormat="false" ht="15" hidden="false" customHeight="true" outlineLevel="0" collapsed="false">
      <c r="A13" s="20" t="s">
        <v>158</v>
      </c>
      <c r="B13" s="21"/>
      <c r="C13" s="21"/>
      <c r="D13" s="22" t="n">
        <f aca="false">B13+C13</f>
        <v>0</v>
      </c>
      <c r="E13" s="21"/>
      <c r="F13" s="21"/>
      <c r="G13" s="22" t="n">
        <f aca="false">E13+F13</f>
        <v>0</v>
      </c>
      <c r="H13" s="21"/>
      <c r="I13" s="21" t="n">
        <v>7900</v>
      </c>
      <c r="J13" s="22" t="n">
        <f aca="false">H13+I13</f>
        <v>7900</v>
      </c>
      <c r="K13" s="21"/>
      <c r="L13" s="21"/>
      <c r="M13" s="22" t="n">
        <f aca="false">K13+L13</f>
        <v>0</v>
      </c>
      <c r="N13" s="21"/>
      <c r="O13" s="21"/>
      <c r="P13" s="22" t="n">
        <f aca="false">N13+O13</f>
        <v>0</v>
      </c>
      <c r="Q13" s="21"/>
      <c r="R13" s="21"/>
      <c r="S13" s="22" t="n">
        <f aca="false">Q13+R13</f>
        <v>0</v>
      </c>
      <c r="T13" s="21"/>
      <c r="U13" s="21"/>
      <c r="V13" s="22" t="n">
        <f aca="false">T13+U13</f>
        <v>0</v>
      </c>
      <c r="W13" s="23" t="n">
        <f aca="false">B13+E13+H13+K13+N13+Q13+T13</f>
        <v>0</v>
      </c>
      <c r="X13" s="24" t="n">
        <f aca="false">C13+F13+I13+L13+O13+R13+U13</f>
        <v>7900</v>
      </c>
      <c r="Y13" s="25" t="n">
        <f aca="false">W13+X13</f>
        <v>7900</v>
      </c>
    </row>
    <row r="14" customFormat="false" ht="16.5" hidden="false" customHeight="true" outlineLevel="0" collapsed="false">
      <c r="A14" s="26" t="s">
        <v>159</v>
      </c>
      <c r="B14" s="27" t="n">
        <f aca="false">SUM(B4:B13)</f>
        <v>17470</v>
      </c>
      <c r="C14" s="27" t="n">
        <f aca="false">SUM(C4:C13)</f>
        <v>0</v>
      </c>
      <c r="D14" s="27" t="n">
        <f aca="false">SUM(D4:D13)</f>
        <v>17470</v>
      </c>
      <c r="E14" s="27" t="n">
        <f aca="false">SUM(E4:E13)</f>
        <v>10000</v>
      </c>
      <c r="F14" s="27" t="n">
        <f aca="false">SUM(F4:F13)</f>
        <v>0</v>
      </c>
      <c r="G14" s="27" t="n">
        <f aca="false">SUM(G4:G13)</f>
        <v>10000</v>
      </c>
      <c r="H14" s="27" t="n">
        <f aca="false">SUM(H4:H13)</f>
        <v>30000</v>
      </c>
      <c r="I14" s="27" t="n">
        <f aca="false">SUM(I4:I13)</f>
        <v>27900</v>
      </c>
      <c r="J14" s="27" t="n">
        <f aca="false">SUM(J4:J13)</f>
        <v>57900</v>
      </c>
      <c r="K14" s="27" t="n">
        <f aca="false">SUM(K4:K13)</f>
        <v>0</v>
      </c>
      <c r="L14" s="27" t="n">
        <f aca="false">SUM(L4:L13)</f>
        <v>120000</v>
      </c>
      <c r="M14" s="27" t="n">
        <f aca="false">SUM(M4:M13)</f>
        <v>120000</v>
      </c>
      <c r="N14" s="27" t="n">
        <f aca="false">SUM(N4:N13)</f>
        <v>0</v>
      </c>
      <c r="O14" s="27" t="n">
        <f aca="false">SUM(O4:O13)</f>
        <v>125000</v>
      </c>
      <c r="P14" s="27" t="n">
        <f aca="false">SUM(P4:P13)</f>
        <v>125000</v>
      </c>
      <c r="Q14" s="27" t="n">
        <f aca="false">SUM(Q4:Q13)</f>
        <v>63929.13</v>
      </c>
      <c r="R14" s="27" t="n">
        <f aca="false">SUM(R4:R13)</f>
        <v>57000</v>
      </c>
      <c r="S14" s="27" t="n">
        <f aca="false">SUM(S4:S13)</f>
        <v>120929.13</v>
      </c>
      <c r="T14" s="27" t="n">
        <f aca="false">SUM(T4:T13)</f>
        <v>65367.8</v>
      </c>
      <c r="U14" s="27" t="n">
        <f aca="false">SUM(U4:U13)</f>
        <v>163021.54</v>
      </c>
      <c r="V14" s="27" t="n">
        <f aca="false">SUM(V4:V13)</f>
        <v>228389.34</v>
      </c>
      <c r="W14" s="27" t="n">
        <f aca="false">SUM(W4:W13)</f>
        <v>186766.93</v>
      </c>
      <c r="X14" s="27" t="n">
        <f aca="false">SUM(X4:X13)</f>
        <v>492921.54</v>
      </c>
      <c r="Y14" s="27" t="n">
        <f aca="false">SUM(Y4:Y13)</f>
        <v>679688.47</v>
      </c>
    </row>
  </sheetData>
  <mergeCells count="9">
    <mergeCell ref="A1:Y1"/>
    <mergeCell ref="B2:D2"/>
    <mergeCell ref="E2:G2"/>
    <mergeCell ref="H2:J2"/>
    <mergeCell ref="K2:M2"/>
    <mergeCell ref="N2:P2"/>
    <mergeCell ref="Q2:S2"/>
    <mergeCell ref="T2:V2"/>
    <mergeCell ref="W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5" min="23" style="0" width="13"/>
  </cols>
  <sheetData>
    <row r="1" customFormat="false" ht="24" hidden="false" customHeight="true" outlineLevel="0" collapsed="false">
      <c r="A1" s="10" t="s">
        <v>160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8" hidden="false" customHeight="true" outlineLevel="0" collapsed="false">
      <c r="A2" s="16" t="s">
        <v>38</v>
      </c>
      <c r="B2" s="17" t="s">
        <v>8</v>
      </c>
      <c r="C2" s="17"/>
      <c r="D2" s="17"/>
      <c r="E2" s="17" t="s">
        <v>9</v>
      </c>
      <c r="F2" s="17"/>
      <c r="G2" s="17"/>
      <c r="H2" s="17" t="s">
        <v>10</v>
      </c>
      <c r="I2" s="17"/>
      <c r="J2" s="17"/>
      <c r="K2" s="17" t="s">
        <v>11</v>
      </c>
      <c r="L2" s="17"/>
      <c r="M2" s="17"/>
      <c r="N2" s="17" t="s">
        <v>12</v>
      </c>
      <c r="O2" s="17"/>
      <c r="P2" s="17"/>
      <c r="Q2" s="17" t="s">
        <v>13</v>
      </c>
      <c r="R2" s="17"/>
      <c r="S2" s="17"/>
      <c r="T2" s="17" t="s">
        <v>14</v>
      </c>
      <c r="U2" s="17"/>
      <c r="V2" s="17"/>
      <c r="W2" s="17" t="s">
        <v>15</v>
      </c>
      <c r="X2" s="17"/>
      <c r="Y2" s="17"/>
    </row>
    <row r="3" customFormat="false" ht="15.75" hidden="false" customHeight="true" outlineLevel="0" collapsed="false">
      <c r="A3" s="18"/>
      <c r="B3" s="19" t="s">
        <v>39</v>
      </c>
      <c r="C3" s="19" t="s">
        <v>6</v>
      </c>
      <c r="D3" s="19" t="s">
        <v>19</v>
      </c>
      <c r="E3" s="19" t="s">
        <v>39</v>
      </c>
      <c r="F3" s="19" t="s">
        <v>6</v>
      </c>
      <c r="G3" s="19" t="s">
        <v>19</v>
      </c>
      <c r="H3" s="19" t="s">
        <v>39</v>
      </c>
      <c r="I3" s="19" t="s">
        <v>6</v>
      </c>
      <c r="J3" s="19" t="s">
        <v>19</v>
      </c>
      <c r="K3" s="19" t="s">
        <v>39</v>
      </c>
      <c r="L3" s="19" t="s">
        <v>6</v>
      </c>
      <c r="M3" s="19" t="s">
        <v>19</v>
      </c>
      <c r="N3" s="19" t="s">
        <v>39</v>
      </c>
      <c r="O3" s="19" t="s">
        <v>6</v>
      </c>
      <c r="P3" s="19" t="s">
        <v>19</v>
      </c>
      <c r="Q3" s="19" t="s">
        <v>39</v>
      </c>
      <c r="R3" s="19" t="s">
        <v>6</v>
      </c>
      <c r="S3" s="19" t="s">
        <v>19</v>
      </c>
      <c r="T3" s="19" t="s">
        <v>39</v>
      </c>
      <c r="U3" s="19" t="s">
        <v>6</v>
      </c>
      <c r="V3" s="19" t="s">
        <v>19</v>
      </c>
      <c r="W3" s="19" t="s">
        <v>39</v>
      </c>
      <c r="X3" s="19" t="s">
        <v>6</v>
      </c>
      <c r="Y3" s="19" t="s">
        <v>19</v>
      </c>
    </row>
    <row r="4" customFormat="false" ht="15" hidden="false" customHeight="true" outlineLevel="0" collapsed="false">
      <c r="A4" s="20" t="s">
        <v>161</v>
      </c>
      <c r="B4" s="21"/>
      <c r="C4" s="21"/>
      <c r="D4" s="22" t="n">
        <f aca="false">B4+C4</f>
        <v>0</v>
      </c>
      <c r="E4" s="21" t="n">
        <v>50000</v>
      </c>
      <c r="F4" s="21"/>
      <c r="G4" s="22" t="n">
        <f aca="false">E4+F4</f>
        <v>50000</v>
      </c>
      <c r="H4" s="21"/>
      <c r="I4" s="21"/>
      <c r="J4" s="22" t="n">
        <f aca="false">H4+I4</f>
        <v>0</v>
      </c>
      <c r="K4" s="21"/>
      <c r="L4" s="21"/>
      <c r="M4" s="22" t="n">
        <f aca="false">K4+L4</f>
        <v>0</v>
      </c>
      <c r="N4" s="21"/>
      <c r="O4" s="21"/>
      <c r="P4" s="22" t="n">
        <f aca="false">N4+O4</f>
        <v>0</v>
      </c>
      <c r="Q4" s="21"/>
      <c r="R4" s="21"/>
      <c r="S4" s="22" t="n">
        <f aca="false">Q4+R4</f>
        <v>0</v>
      </c>
      <c r="T4" s="21"/>
      <c r="U4" s="21"/>
      <c r="V4" s="22" t="n">
        <f aca="false">T4+U4</f>
        <v>0</v>
      </c>
      <c r="W4" s="23" t="n">
        <f aca="false">B4+E4+H4+K4+N4+Q4+T4</f>
        <v>50000</v>
      </c>
      <c r="X4" s="24" t="n">
        <f aca="false">C4+F4+I4+L4+O4+R4+U4</f>
        <v>0</v>
      </c>
      <c r="Y4" s="25" t="n">
        <f aca="false">W4+X4</f>
        <v>50000</v>
      </c>
    </row>
    <row r="5" customFormat="false" ht="15" hidden="false" customHeight="true" outlineLevel="0" collapsed="false">
      <c r="A5" s="20" t="s">
        <v>162</v>
      </c>
      <c r="B5" s="21" t="n">
        <v>37000</v>
      </c>
      <c r="C5" s="21"/>
      <c r="D5" s="22" t="n">
        <f aca="false">B5+C5</f>
        <v>37000</v>
      </c>
      <c r="E5" s="21"/>
      <c r="F5" s="21"/>
      <c r="G5" s="22" t="n">
        <f aca="false">E5+F5</f>
        <v>0</v>
      </c>
      <c r="H5" s="21"/>
      <c r="I5" s="21"/>
      <c r="J5" s="22" t="n">
        <f aca="false">H5+I5</f>
        <v>0</v>
      </c>
      <c r="K5" s="21"/>
      <c r="L5" s="21"/>
      <c r="M5" s="22" t="n">
        <f aca="false">K5+L5</f>
        <v>0</v>
      </c>
      <c r="N5" s="21"/>
      <c r="O5" s="21"/>
      <c r="P5" s="22" t="n">
        <f aca="false">N5+O5</f>
        <v>0</v>
      </c>
      <c r="Q5" s="21"/>
      <c r="R5" s="21"/>
      <c r="S5" s="22" t="n">
        <f aca="false">Q5+R5</f>
        <v>0</v>
      </c>
      <c r="T5" s="21"/>
      <c r="U5" s="21"/>
      <c r="V5" s="22" t="n">
        <f aca="false">T5+U5</f>
        <v>0</v>
      </c>
      <c r="W5" s="23" t="n">
        <f aca="false">B5+E5+H5+K5+N5+Q5+T5</f>
        <v>37000</v>
      </c>
      <c r="X5" s="24" t="n">
        <f aca="false">C5+F5+I5+L5+O5+R5+U5</f>
        <v>0</v>
      </c>
      <c r="Y5" s="25" t="n">
        <f aca="false">W5+X5</f>
        <v>37000</v>
      </c>
    </row>
    <row r="6" customFormat="false" ht="15" hidden="false" customHeight="true" outlineLevel="0" collapsed="false">
      <c r="A6" s="20" t="s">
        <v>163</v>
      </c>
      <c r="B6" s="21"/>
      <c r="C6" s="21"/>
      <c r="D6" s="22" t="n">
        <f aca="false">B6+C6</f>
        <v>0</v>
      </c>
      <c r="E6" s="21"/>
      <c r="F6" s="21"/>
      <c r="G6" s="22" t="n">
        <f aca="false">E6+F6</f>
        <v>0</v>
      </c>
      <c r="H6" s="21"/>
      <c r="I6" s="21"/>
      <c r="J6" s="22" t="n">
        <f aca="false">H6+I6</f>
        <v>0</v>
      </c>
      <c r="K6" s="21"/>
      <c r="L6" s="21"/>
      <c r="M6" s="22" t="n">
        <f aca="false">K6+L6</f>
        <v>0</v>
      </c>
      <c r="N6" s="21"/>
      <c r="O6" s="21"/>
      <c r="P6" s="22" t="n">
        <f aca="false">N6+O6</f>
        <v>0</v>
      </c>
      <c r="Q6" s="21" t="n">
        <v>18768</v>
      </c>
      <c r="R6" s="21"/>
      <c r="S6" s="22" t="n">
        <f aca="false">Q6+R6</f>
        <v>18768</v>
      </c>
      <c r="T6" s="21"/>
      <c r="U6" s="21"/>
      <c r="V6" s="22" t="n">
        <f aca="false">T6+U6</f>
        <v>0</v>
      </c>
      <c r="W6" s="23" t="n">
        <f aca="false">B6+E6+H6+K6+N6+Q6+T6</f>
        <v>18768</v>
      </c>
      <c r="X6" s="24" t="n">
        <f aca="false">C6+F6+I6+L6+O6+R6+U6</f>
        <v>0</v>
      </c>
      <c r="Y6" s="25" t="n">
        <f aca="false">W6+X6</f>
        <v>18768</v>
      </c>
    </row>
    <row r="7" customFormat="false" ht="16.5" hidden="false" customHeight="true" outlineLevel="0" collapsed="false">
      <c r="A7" s="26" t="s">
        <v>164</v>
      </c>
      <c r="B7" s="27" t="n">
        <f aca="false">SUM(B4:B6)</f>
        <v>37000</v>
      </c>
      <c r="C7" s="27" t="n">
        <f aca="false">SUM(C4:C6)</f>
        <v>0</v>
      </c>
      <c r="D7" s="27" t="n">
        <f aca="false">SUM(D4:D6)</f>
        <v>37000</v>
      </c>
      <c r="E7" s="27" t="n">
        <f aca="false">SUM(E4:E6)</f>
        <v>50000</v>
      </c>
      <c r="F7" s="27" t="n">
        <f aca="false">SUM(F4:F6)</f>
        <v>0</v>
      </c>
      <c r="G7" s="27" t="n">
        <f aca="false">SUM(G4:G6)</f>
        <v>50000</v>
      </c>
      <c r="H7" s="27" t="n">
        <f aca="false">SUM(H4:H6)</f>
        <v>0</v>
      </c>
      <c r="I7" s="27" t="n">
        <f aca="false">SUM(I4:I6)</f>
        <v>0</v>
      </c>
      <c r="J7" s="27" t="n">
        <f aca="false">SUM(J4:J6)</f>
        <v>0</v>
      </c>
      <c r="K7" s="27" t="n">
        <f aca="false">SUM(K4:K6)</f>
        <v>0</v>
      </c>
      <c r="L7" s="27" t="n">
        <f aca="false">SUM(L4:L6)</f>
        <v>0</v>
      </c>
      <c r="M7" s="27" t="n">
        <f aca="false">SUM(M4:M6)</f>
        <v>0</v>
      </c>
      <c r="N7" s="27" t="n">
        <f aca="false">SUM(N4:N6)</f>
        <v>0</v>
      </c>
      <c r="O7" s="27" t="n">
        <f aca="false">SUM(O4:O6)</f>
        <v>0</v>
      </c>
      <c r="P7" s="27" t="n">
        <f aca="false">SUM(P4:P6)</f>
        <v>0</v>
      </c>
      <c r="Q7" s="27" t="n">
        <f aca="false">SUM(Q4:Q6)</f>
        <v>18768</v>
      </c>
      <c r="R7" s="27" t="n">
        <f aca="false">SUM(R4:R6)</f>
        <v>0</v>
      </c>
      <c r="S7" s="27" t="n">
        <f aca="false">SUM(S4:S6)</f>
        <v>18768</v>
      </c>
      <c r="T7" s="27" t="n">
        <f aca="false">SUM(T4:T6)</f>
        <v>0</v>
      </c>
      <c r="U7" s="27" t="n">
        <f aca="false">SUM(U4:U6)</f>
        <v>0</v>
      </c>
      <c r="V7" s="27" t="n">
        <f aca="false">SUM(V4:V6)</f>
        <v>0</v>
      </c>
      <c r="W7" s="27" t="n">
        <f aca="false">SUM(W4:W6)</f>
        <v>105768</v>
      </c>
      <c r="X7" s="27" t="n">
        <f aca="false">SUM(X4:X6)</f>
        <v>0</v>
      </c>
      <c r="Y7" s="27" t="n">
        <f aca="false">SUM(Y4:Y6)</f>
        <v>105768</v>
      </c>
    </row>
  </sheetData>
  <mergeCells count="9">
    <mergeCell ref="A1:Y1"/>
    <mergeCell ref="B2:D2"/>
    <mergeCell ref="E2:G2"/>
    <mergeCell ref="H2:J2"/>
    <mergeCell ref="K2:M2"/>
    <mergeCell ref="N2:P2"/>
    <mergeCell ref="Q2:S2"/>
    <mergeCell ref="T2:V2"/>
    <mergeCell ref="W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4" min="4" style="0" width="11"/>
    <col collapsed="false" customWidth="true" hidden="false" outlineLevel="0" max="6" min="5" style="0" width="12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2"/>
    <col collapsed="false" customWidth="true" hidden="false" outlineLevel="0" max="13" min="13" style="0" width="11"/>
    <col collapsed="false" customWidth="true" hidden="false" outlineLevel="0" max="15" min="14" style="0" width="12"/>
    <col collapsed="false" customWidth="true" hidden="false" outlineLevel="0" max="16" min="16" style="0" width="11"/>
    <col collapsed="false" customWidth="true" hidden="false" outlineLevel="0" max="18" min="17" style="0" width="12"/>
    <col collapsed="false" customWidth="true" hidden="false" outlineLevel="0" max="19" min="19" style="0" width="11"/>
    <col collapsed="false" customWidth="true" hidden="false" outlineLevel="0" max="21" min="20" style="0" width="12"/>
    <col collapsed="false" customWidth="true" hidden="false" outlineLevel="0" max="22" min="22" style="0" width="11"/>
    <col collapsed="false" customWidth="true" hidden="false" outlineLevel="0" max="25" min="23" style="0" width="13"/>
  </cols>
  <sheetData>
    <row r="1" customFormat="false" ht="24" hidden="false" customHeight="true" outlineLevel="0" collapsed="false">
      <c r="A1" s="10" t="s">
        <v>165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customFormat="false" ht="18" hidden="false" customHeight="true" outlineLevel="0" collapsed="false">
      <c r="A2" s="16" t="s">
        <v>38</v>
      </c>
      <c r="B2" s="17" t="s">
        <v>8</v>
      </c>
      <c r="C2" s="17"/>
      <c r="D2" s="17"/>
      <c r="E2" s="17" t="s">
        <v>9</v>
      </c>
      <c r="F2" s="17"/>
      <c r="G2" s="17"/>
      <c r="H2" s="17" t="s">
        <v>10</v>
      </c>
      <c r="I2" s="17"/>
      <c r="J2" s="17"/>
      <c r="K2" s="17" t="s">
        <v>11</v>
      </c>
      <c r="L2" s="17"/>
      <c r="M2" s="17"/>
      <c r="N2" s="17" t="s">
        <v>12</v>
      </c>
      <c r="O2" s="17"/>
      <c r="P2" s="17"/>
      <c r="Q2" s="17" t="s">
        <v>13</v>
      </c>
      <c r="R2" s="17"/>
      <c r="S2" s="17"/>
      <c r="T2" s="17" t="s">
        <v>14</v>
      </c>
      <c r="U2" s="17"/>
      <c r="V2" s="17"/>
      <c r="W2" s="17" t="s">
        <v>15</v>
      </c>
      <c r="X2" s="17"/>
      <c r="Y2" s="17"/>
    </row>
    <row r="3" customFormat="false" ht="15.75" hidden="false" customHeight="true" outlineLevel="0" collapsed="false">
      <c r="A3" s="18"/>
      <c r="B3" s="19" t="s">
        <v>39</v>
      </c>
      <c r="C3" s="19" t="s">
        <v>6</v>
      </c>
      <c r="D3" s="19" t="s">
        <v>19</v>
      </c>
      <c r="E3" s="19" t="s">
        <v>39</v>
      </c>
      <c r="F3" s="19" t="s">
        <v>6</v>
      </c>
      <c r="G3" s="19" t="s">
        <v>19</v>
      </c>
      <c r="H3" s="19" t="s">
        <v>39</v>
      </c>
      <c r="I3" s="19" t="s">
        <v>6</v>
      </c>
      <c r="J3" s="19" t="s">
        <v>19</v>
      </c>
      <c r="K3" s="19" t="s">
        <v>39</v>
      </c>
      <c r="L3" s="19" t="s">
        <v>6</v>
      </c>
      <c r="M3" s="19" t="s">
        <v>19</v>
      </c>
      <c r="N3" s="19" t="s">
        <v>39</v>
      </c>
      <c r="O3" s="19" t="s">
        <v>6</v>
      </c>
      <c r="P3" s="19" t="s">
        <v>19</v>
      </c>
      <c r="Q3" s="19" t="s">
        <v>39</v>
      </c>
      <c r="R3" s="19" t="s">
        <v>6</v>
      </c>
      <c r="S3" s="19" t="s">
        <v>19</v>
      </c>
      <c r="T3" s="19" t="s">
        <v>39</v>
      </c>
      <c r="U3" s="19" t="s">
        <v>6</v>
      </c>
      <c r="V3" s="19" t="s">
        <v>19</v>
      </c>
      <c r="W3" s="19" t="s">
        <v>39</v>
      </c>
      <c r="X3" s="19" t="s">
        <v>6</v>
      </c>
      <c r="Y3" s="19" t="s">
        <v>19</v>
      </c>
    </row>
    <row r="4" customFormat="false" ht="15" hidden="false" customHeight="true" outlineLevel="0" collapsed="false">
      <c r="A4" s="20" t="s">
        <v>166</v>
      </c>
      <c r="B4" s="21"/>
      <c r="C4" s="21"/>
      <c r="D4" s="22" t="n">
        <f aca="false">B4+C4</f>
        <v>0</v>
      </c>
      <c r="E4" s="21"/>
      <c r="F4" s="21"/>
      <c r="G4" s="22" t="n">
        <f aca="false">E4+F4</f>
        <v>0</v>
      </c>
      <c r="H4" s="21"/>
      <c r="I4" s="21"/>
      <c r="J4" s="22" t="n">
        <f aca="false">H4+I4</f>
        <v>0</v>
      </c>
      <c r="K4" s="21"/>
      <c r="L4" s="21"/>
      <c r="M4" s="22" t="n">
        <f aca="false">K4+L4</f>
        <v>0</v>
      </c>
      <c r="N4" s="21"/>
      <c r="O4" s="21"/>
      <c r="P4" s="22" t="n">
        <f aca="false">N4+O4</f>
        <v>0</v>
      </c>
      <c r="Q4" s="21"/>
      <c r="R4" s="21"/>
      <c r="S4" s="22" t="n">
        <f aca="false">Q4+R4</f>
        <v>0</v>
      </c>
      <c r="T4" s="21" t="n">
        <v>2729</v>
      </c>
      <c r="U4" s="21"/>
      <c r="V4" s="22" t="n">
        <f aca="false">T4+U4</f>
        <v>2729</v>
      </c>
      <c r="W4" s="23" t="n">
        <f aca="false">B4+E4+H4+K4+N4+Q4+T4</f>
        <v>2729</v>
      </c>
      <c r="X4" s="24" t="n">
        <f aca="false">C4+F4+I4+L4+O4+R4+U4</f>
        <v>0</v>
      </c>
      <c r="Y4" s="25" t="n">
        <f aca="false">W4+X4</f>
        <v>2729</v>
      </c>
    </row>
    <row r="5" customFormat="false" ht="15" hidden="false" customHeight="true" outlineLevel="0" collapsed="false">
      <c r="A5" s="20" t="s">
        <v>167</v>
      </c>
      <c r="B5" s="21"/>
      <c r="C5" s="21"/>
      <c r="D5" s="22" t="n">
        <f aca="false">B5+C5</f>
        <v>0</v>
      </c>
      <c r="E5" s="21"/>
      <c r="F5" s="21"/>
      <c r="G5" s="22" t="n">
        <f aca="false">E5+F5</f>
        <v>0</v>
      </c>
      <c r="H5" s="21"/>
      <c r="I5" s="21" t="n">
        <v>141000</v>
      </c>
      <c r="J5" s="22" t="n">
        <f aca="false">H5+I5</f>
        <v>141000</v>
      </c>
      <c r="K5" s="21"/>
      <c r="L5" s="21" t="n">
        <v>141000</v>
      </c>
      <c r="M5" s="22" t="n">
        <f aca="false">K5+L5</f>
        <v>141000</v>
      </c>
      <c r="N5" s="21"/>
      <c r="O5" s="21"/>
      <c r="P5" s="22" t="n">
        <f aca="false">N5+O5</f>
        <v>0</v>
      </c>
      <c r="Q5" s="21"/>
      <c r="R5" s="21"/>
      <c r="S5" s="22" t="n">
        <f aca="false">Q5+R5</f>
        <v>0</v>
      </c>
      <c r="T5" s="21"/>
      <c r="U5" s="21"/>
      <c r="V5" s="22" t="n">
        <f aca="false">T5+U5</f>
        <v>0</v>
      </c>
      <c r="W5" s="23" t="n">
        <f aca="false">B5+E5+H5+K5+N5+Q5+T5</f>
        <v>0</v>
      </c>
      <c r="X5" s="24" t="n">
        <f aca="false">C5+F5+I5+L5+O5+R5+U5</f>
        <v>282000</v>
      </c>
      <c r="Y5" s="25" t="n">
        <f aca="false">W5+X5</f>
        <v>282000</v>
      </c>
    </row>
    <row r="6" customFormat="false" ht="15" hidden="false" customHeight="true" outlineLevel="0" collapsed="false">
      <c r="A6" s="20" t="s">
        <v>168</v>
      </c>
      <c r="B6" s="21"/>
      <c r="C6" s="21"/>
      <c r="D6" s="22" t="n">
        <f aca="false">B6+C6</f>
        <v>0</v>
      </c>
      <c r="E6" s="21"/>
      <c r="F6" s="21"/>
      <c r="G6" s="22" t="n">
        <f aca="false">E6+F6</f>
        <v>0</v>
      </c>
      <c r="H6" s="21"/>
      <c r="I6" s="21"/>
      <c r="J6" s="22" t="n">
        <f aca="false">H6+I6</f>
        <v>0</v>
      </c>
      <c r="K6" s="21"/>
      <c r="L6" s="21"/>
      <c r="M6" s="22" t="n">
        <f aca="false">K6+L6</f>
        <v>0</v>
      </c>
      <c r="N6" s="21"/>
      <c r="O6" s="21"/>
      <c r="P6" s="22" t="n">
        <f aca="false">N6+O6</f>
        <v>0</v>
      </c>
      <c r="Q6" s="21"/>
      <c r="R6" s="21"/>
      <c r="S6" s="22" t="n">
        <f aca="false">Q6+R6</f>
        <v>0</v>
      </c>
      <c r="T6" s="21"/>
      <c r="U6" s="21" t="n">
        <v>154000</v>
      </c>
      <c r="V6" s="22" t="n">
        <f aca="false">T6+U6</f>
        <v>154000</v>
      </c>
      <c r="W6" s="23" t="n">
        <f aca="false">B6+E6+H6+K6+N6+Q6+T6</f>
        <v>0</v>
      </c>
      <c r="X6" s="24" t="n">
        <f aca="false">C6+F6+I6+L6+O6+R6+U6</f>
        <v>154000</v>
      </c>
      <c r="Y6" s="25" t="n">
        <f aca="false">W6+X6</f>
        <v>154000</v>
      </c>
    </row>
    <row r="7" customFormat="false" ht="16.5" hidden="false" customHeight="true" outlineLevel="0" collapsed="false">
      <c r="A7" s="26" t="s">
        <v>169</v>
      </c>
      <c r="B7" s="27" t="n">
        <f aca="false">SUM(B4:B6)</f>
        <v>0</v>
      </c>
      <c r="C7" s="27" t="n">
        <f aca="false">SUM(C4:C6)</f>
        <v>0</v>
      </c>
      <c r="D7" s="27" t="n">
        <f aca="false">SUM(D4:D6)</f>
        <v>0</v>
      </c>
      <c r="E7" s="27" t="n">
        <f aca="false">SUM(E4:E6)</f>
        <v>0</v>
      </c>
      <c r="F7" s="27" t="n">
        <f aca="false">SUM(F4:F6)</f>
        <v>0</v>
      </c>
      <c r="G7" s="27" t="n">
        <f aca="false">SUM(G4:G6)</f>
        <v>0</v>
      </c>
      <c r="H7" s="27" t="n">
        <f aca="false">SUM(H4:H6)</f>
        <v>0</v>
      </c>
      <c r="I7" s="27" t="n">
        <f aca="false">SUM(I4:I6)</f>
        <v>141000</v>
      </c>
      <c r="J7" s="27" t="n">
        <f aca="false">SUM(J4:J6)</f>
        <v>141000</v>
      </c>
      <c r="K7" s="27" t="n">
        <f aca="false">SUM(K4:K6)</f>
        <v>0</v>
      </c>
      <c r="L7" s="27" t="n">
        <f aca="false">SUM(L4:L6)</f>
        <v>141000</v>
      </c>
      <c r="M7" s="27" t="n">
        <f aca="false">SUM(M4:M6)</f>
        <v>141000</v>
      </c>
      <c r="N7" s="27" t="n">
        <f aca="false">SUM(N4:N6)</f>
        <v>0</v>
      </c>
      <c r="O7" s="27" t="n">
        <f aca="false">SUM(O4:O6)</f>
        <v>0</v>
      </c>
      <c r="P7" s="27" t="n">
        <f aca="false">SUM(P4:P6)</f>
        <v>0</v>
      </c>
      <c r="Q7" s="27" t="n">
        <f aca="false">SUM(Q4:Q6)</f>
        <v>0</v>
      </c>
      <c r="R7" s="27" t="n">
        <f aca="false">SUM(R4:R6)</f>
        <v>0</v>
      </c>
      <c r="S7" s="27" t="n">
        <f aca="false">SUM(S4:S6)</f>
        <v>0</v>
      </c>
      <c r="T7" s="27" t="n">
        <f aca="false">SUM(T4:T6)</f>
        <v>2729</v>
      </c>
      <c r="U7" s="27" t="n">
        <f aca="false">SUM(U4:U6)</f>
        <v>154000</v>
      </c>
      <c r="V7" s="27" t="n">
        <f aca="false">SUM(V4:V6)</f>
        <v>156729</v>
      </c>
      <c r="W7" s="27" t="n">
        <f aca="false">SUM(W4:W6)</f>
        <v>2729</v>
      </c>
      <c r="X7" s="27" t="n">
        <f aca="false">SUM(X4:X6)</f>
        <v>436000</v>
      </c>
      <c r="Y7" s="27" t="n">
        <f aca="false">SUM(Y4:Y6)</f>
        <v>438729</v>
      </c>
    </row>
  </sheetData>
  <mergeCells count="9">
    <mergeCell ref="A1:Y1"/>
    <mergeCell ref="B2:D2"/>
    <mergeCell ref="E2:G2"/>
    <mergeCell ref="H2:J2"/>
    <mergeCell ref="K2:M2"/>
    <mergeCell ref="N2:P2"/>
    <mergeCell ref="Q2:S2"/>
    <mergeCell ref="T2:V2"/>
    <mergeCell ref="W2:Y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170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40</v>
      </c>
      <c r="B4" s="6" t="n">
        <v>355000</v>
      </c>
      <c r="C4" s="6" t="n">
        <v>609298</v>
      </c>
      <c r="D4" s="6" t="n">
        <v>383000</v>
      </c>
      <c r="E4" s="6" t="n">
        <v>418000</v>
      </c>
      <c r="F4" s="6" t="n">
        <v>435000</v>
      </c>
      <c r="G4" s="6" t="n">
        <v>403000</v>
      </c>
      <c r="H4" s="6" t="n">
        <v>440000</v>
      </c>
      <c r="I4" s="6" t="n">
        <f aca="false">SUM(B4:H4)</f>
        <v>3043298</v>
      </c>
    </row>
    <row r="5" customFormat="false" ht="15" hidden="false" customHeight="true" outlineLevel="0" collapsed="false">
      <c r="A5" s="5" t="s">
        <v>41</v>
      </c>
      <c r="B5" s="6" t="n">
        <v>73000</v>
      </c>
      <c r="C5" s="6" t="n">
        <v>65852.5</v>
      </c>
      <c r="D5" s="6" t="n">
        <v>68200</v>
      </c>
      <c r="E5" s="6" t="n">
        <v>70450</v>
      </c>
      <c r="F5" s="6" t="n">
        <v>86850</v>
      </c>
      <c r="G5" s="6" t="n">
        <v>92750</v>
      </c>
      <c r="H5" s="6" t="n">
        <v>98300</v>
      </c>
      <c r="I5" s="6" t="n">
        <f aca="false">SUM(B5:H5)</f>
        <v>555402.5</v>
      </c>
    </row>
    <row r="6" customFormat="false" ht="15" hidden="false" customHeight="true" outlineLevel="0" collapsed="false">
      <c r="A6" s="5" t="s">
        <v>42</v>
      </c>
      <c r="B6" s="6" t="n">
        <v>80000</v>
      </c>
      <c r="C6" s="6" t="n">
        <v>0</v>
      </c>
      <c r="D6" s="6" t="n">
        <v>0</v>
      </c>
      <c r="E6" s="6" t="n">
        <v>86783.47</v>
      </c>
      <c r="F6" s="6" t="n">
        <v>54415.44</v>
      </c>
      <c r="G6" s="6" t="n">
        <v>40426.65</v>
      </c>
      <c r="H6" s="6" t="n">
        <v>68302.86</v>
      </c>
      <c r="I6" s="6" t="n">
        <f aca="false">SUM(B6:H6)</f>
        <v>329928.42</v>
      </c>
    </row>
    <row r="7" customFormat="false" ht="15" hidden="false" customHeight="true" outlineLevel="0" collapsed="false">
      <c r="A7" s="5" t="s">
        <v>43</v>
      </c>
      <c r="B7" s="6" t="n">
        <v>80000</v>
      </c>
      <c r="C7" s="6" t="n">
        <v>160000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f aca="false">SUM(B7:H7)</f>
        <v>240000</v>
      </c>
    </row>
    <row r="8" customFormat="false" ht="15" hidden="false" customHeight="true" outlineLevel="0" collapsed="false">
      <c r="A8" s="5" t="s">
        <v>44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185800</v>
      </c>
      <c r="H8" s="6" t="n">
        <v>0</v>
      </c>
      <c r="I8" s="6" t="n">
        <f aca="false">SUM(B8:H8)</f>
        <v>185800</v>
      </c>
    </row>
    <row r="9" customFormat="false" ht="15" hidden="false" customHeight="true" outlineLevel="0" collapsed="false">
      <c r="A9" s="5" t="s">
        <v>45</v>
      </c>
      <c r="B9" s="6" t="n">
        <v>30000</v>
      </c>
      <c r="C9" s="6" t="n">
        <v>40000</v>
      </c>
      <c r="D9" s="6" t="n">
        <v>15000</v>
      </c>
      <c r="E9" s="6" t="n">
        <v>49999.8</v>
      </c>
      <c r="F9" s="6" t="n">
        <v>10000</v>
      </c>
      <c r="G9" s="6" t="n">
        <v>20000</v>
      </c>
      <c r="H9" s="6" t="n">
        <v>20000</v>
      </c>
      <c r="I9" s="6" t="n">
        <f aca="false">SUM(B9:H9)</f>
        <v>184999.8</v>
      </c>
    </row>
    <row r="10" customFormat="false" ht="15" hidden="false" customHeight="true" outlineLevel="0" collapsed="false">
      <c r="A10" s="5" t="s">
        <v>46</v>
      </c>
      <c r="B10" s="6" t="n">
        <v>0</v>
      </c>
      <c r="C10" s="6" t="n">
        <v>67200</v>
      </c>
      <c r="D10" s="6" t="n">
        <v>0</v>
      </c>
      <c r="E10" s="6" t="n">
        <v>28500</v>
      </c>
      <c r="F10" s="6" t="n">
        <v>0</v>
      </c>
      <c r="G10" s="6" t="n">
        <v>0</v>
      </c>
      <c r="H10" s="6" t="n">
        <v>0</v>
      </c>
      <c r="I10" s="6" t="n">
        <f aca="false">SUM(B10:H10)</f>
        <v>95700</v>
      </c>
    </row>
    <row r="11" customFormat="false" ht="15" hidden="false" customHeight="true" outlineLevel="0" collapsed="false">
      <c r="A11" s="5" t="s">
        <v>47</v>
      </c>
      <c r="B11" s="6" t="n">
        <v>0</v>
      </c>
      <c r="C11" s="6" t="n">
        <v>22846.25</v>
      </c>
      <c r="D11" s="6" t="n">
        <v>0</v>
      </c>
      <c r="E11" s="6" t="n">
        <v>14045.02</v>
      </c>
      <c r="F11" s="6" t="n">
        <v>6811.7</v>
      </c>
      <c r="G11" s="6" t="n">
        <v>0</v>
      </c>
      <c r="H11" s="6" t="n">
        <v>0</v>
      </c>
      <c r="I11" s="6" t="n">
        <f aca="false">SUM(B11:H11)</f>
        <v>43702.97</v>
      </c>
    </row>
    <row r="12" customFormat="false" ht="15" hidden="false" customHeight="true" outlineLevel="0" collapsed="false">
      <c r="A12" s="5" t="s">
        <v>48</v>
      </c>
      <c r="B12" s="6" t="n">
        <v>0</v>
      </c>
      <c r="C12" s="6" t="n">
        <v>0</v>
      </c>
      <c r="D12" s="6" t="n">
        <v>37500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f aca="false">SUM(B12:H12)</f>
        <v>37500</v>
      </c>
    </row>
    <row r="13" customFormat="false" ht="15" hidden="false" customHeight="true" outlineLevel="0" collapsed="false">
      <c r="A13" s="5" t="s">
        <v>49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21600</v>
      </c>
      <c r="G13" s="6" t="n">
        <v>12000</v>
      </c>
      <c r="H13" s="6" t="n">
        <v>0</v>
      </c>
      <c r="I13" s="6" t="n">
        <f aca="false">SUM(B13:H13)</f>
        <v>33600</v>
      </c>
    </row>
    <row r="14" customFormat="false" ht="15" hidden="false" customHeight="true" outlineLevel="0" collapsed="false">
      <c r="A14" s="5" t="s">
        <v>50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24644.75</v>
      </c>
      <c r="H14" s="6" t="n">
        <v>0</v>
      </c>
      <c r="I14" s="6" t="n">
        <f aca="false">SUM(B14:H14)</f>
        <v>24644.75</v>
      </c>
    </row>
    <row r="15" customFormat="false" ht="15" hidden="false" customHeight="true" outlineLevel="0" collapsed="false">
      <c r="A15" s="5" t="s">
        <v>51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20000</v>
      </c>
      <c r="I15" s="6" t="n">
        <f aca="false">SUM(B15:H15)</f>
        <v>20000</v>
      </c>
    </row>
    <row r="16" customFormat="false" ht="15" hidden="false" customHeight="true" outlineLevel="0" collapsed="false">
      <c r="A16" s="5" t="s">
        <v>52</v>
      </c>
      <c r="B16" s="6" t="n">
        <v>20000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f aca="false">SUM(B16:H16)</f>
        <v>20000</v>
      </c>
    </row>
    <row r="17" customFormat="false" ht="15" hidden="false" customHeight="true" outlineLevel="0" collapsed="false">
      <c r="A17" s="5" t="s">
        <v>53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10000</v>
      </c>
      <c r="H17" s="6" t="n">
        <v>9000</v>
      </c>
      <c r="I17" s="6" t="n">
        <f aca="false">SUM(B17:H17)</f>
        <v>19000</v>
      </c>
    </row>
    <row r="18" customFormat="false" ht="15" hidden="false" customHeight="true" outlineLevel="0" collapsed="false">
      <c r="A18" s="5" t="s">
        <v>54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15645</v>
      </c>
      <c r="H18" s="6" t="n">
        <v>0</v>
      </c>
      <c r="I18" s="6" t="n">
        <f aca="false">SUM(B18:H18)</f>
        <v>15645</v>
      </c>
    </row>
    <row r="19" customFormat="false" ht="15" hidden="false" customHeight="true" outlineLevel="0" collapsed="false">
      <c r="A19" s="5" t="s">
        <v>55</v>
      </c>
      <c r="B19" s="6" t="n">
        <v>0</v>
      </c>
      <c r="C19" s="6" t="n">
        <v>0</v>
      </c>
      <c r="D19" s="6" t="n">
        <v>15600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f aca="false">SUM(B19:H19)</f>
        <v>15600</v>
      </c>
    </row>
    <row r="20" customFormat="false" ht="15" hidden="false" customHeight="true" outlineLevel="0" collapsed="false">
      <c r="A20" s="5" t="s">
        <v>56</v>
      </c>
      <c r="B20" s="6" t="n">
        <v>12006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f aca="false">SUM(B20:H20)</f>
        <v>12006</v>
      </c>
    </row>
    <row r="21" customFormat="false" ht="15" hidden="false" customHeight="true" outlineLevel="0" collapsed="false">
      <c r="A21" s="5" t="s">
        <v>57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10000</v>
      </c>
      <c r="I21" s="6" t="n">
        <f aca="false">SUM(B21:H21)</f>
        <v>10000</v>
      </c>
    </row>
    <row r="22" customFormat="false" ht="15" hidden="false" customHeight="true" outlineLevel="0" collapsed="false">
      <c r="A22" s="5" t="s">
        <v>58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7590.03</v>
      </c>
      <c r="H22" s="6" t="n">
        <v>0</v>
      </c>
      <c r="I22" s="6" t="n">
        <f aca="false">SUM(B22:H22)</f>
        <v>7590.03</v>
      </c>
    </row>
    <row r="23" customFormat="false" ht="15" hidden="false" customHeight="true" outlineLevel="0" collapsed="false">
      <c r="A23" s="5" t="s">
        <v>59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7508.23</v>
      </c>
      <c r="I23" s="6" t="n">
        <f aca="false">SUM(B23:H23)</f>
        <v>7508.23</v>
      </c>
    </row>
    <row r="24" customFormat="false" ht="15" hidden="false" customHeight="true" outlineLevel="0" collapsed="false">
      <c r="A24" s="5" t="s">
        <v>60</v>
      </c>
      <c r="B24" s="6" t="n">
        <v>0</v>
      </c>
      <c r="C24" s="6" t="n">
        <v>7308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f aca="false">SUM(B24:H24)</f>
        <v>7308</v>
      </c>
    </row>
    <row r="25" customFormat="false" ht="15" hidden="false" customHeight="true" outlineLevel="0" collapsed="false">
      <c r="A25" s="5" t="s">
        <v>61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f aca="false">SUM(B25:H25)</f>
        <v>0</v>
      </c>
    </row>
    <row r="26" customFormat="false" ht="15" hidden="false" customHeight="true" outlineLevel="0" collapsed="false">
      <c r="A26" s="5" t="s">
        <v>62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f aca="false">SUM(B26:H26)</f>
        <v>0</v>
      </c>
    </row>
    <row r="27" customFormat="false" ht="15" hidden="false" customHeight="true" outlineLevel="0" collapsed="false">
      <c r="A27" s="5" t="s">
        <v>63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f aca="false">SUM(B27:H27)</f>
        <v>0</v>
      </c>
    </row>
    <row r="28" customFormat="false" ht="15" hidden="false" customHeight="true" outlineLevel="0" collapsed="false">
      <c r="A28" s="5" t="s">
        <v>64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f aca="false">SUM(B28:H28)</f>
        <v>0</v>
      </c>
    </row>
    <row r="29" customFormat="false" ht="15" hidden="false" customHeight="true" outlineLevel="0" collapsed="false">
      <c r="A29" s="7" t="s">
        <v>171</v>
      </c>
      <c r="B29" s="8" t="n">
        <f aca="false">SUM(B4:B28)</f>
        <v>650006</v>
      </c>
      <c r="C29" s="8" t="n">
        <f aca="false">SUM(C4:C28)</f>
        <v>972504.75</v>
      </c>
      <c r="D29" s="8" t="n">
        <f aca="false">SUM(D4:D28)</f>
        <v>519300</v>
      </c>
      <c r="E29" s="8" t="n">
        <f aca="false">SUM(E4:E28)</f>
        <v>667778.29</v>
      </c>
      <c r="F29" s="8" t="n">
        <f aca="false">SUM(F4:F28)</f>
        <v>614677.14</v>
      </c>
      <c r="G29" s="8" t="n">
        <f aca="false">SUM(G4:G28)</f>
        <v>811856.43</v>
      </c>
      <c r="H29" s="8" t="n">
        <f aca="false">SUM(H4:H28)</f>
        <v>673111.09</v>
      </c>
      <c r="I29" s="8" t="n">
        <f aca="false">SUM(I4:I28)</f>
        <v>4909233.7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172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67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153555</v>
      </c>
      <c r="I4" s="6" t="n">
        <f aca="false">SUM(B4:H4)</f>
        <v>153555</v>
      </c>
    </row>
    <row r="5" customFormat="false" ht="15" hidden="false" customHeight="true" outlineLevel="0" collapsed="false">
      <c r="A5" s="5" t="s">
        <v>68</v>
      </c>
      <c r="B5" s="6" t="n">
        <v>0</v>
      </c>
      <c r="C5" s="6" t="n">
        <v>0</v>
      </c>
      <c r="D5" s="6" t="n">
        <v>9802</v>
      </c>
      <c r="E5" s="6" t="n">
        <v>19604</v>
      </c>
      <c r="F5" s="6" t="n">
        <v>1896.6</v>
      </c>
      <c r="G5" s="6" t="n">
        <v>95845</v>
      </c>
      <c r="H5" s="6" t="n">
        <v>0</v>
      </c>
      <c r="I5" s="6" t="n">
        <f aca="false">SUM(B5:H5)</f>
        <v>127147.6</v>
      </c>
    </row>
    <row r="6" customFormat="false" ht="15" hidden="false" customHeight="true" outlineLevel="0" collapsed="false">
      <c r="A6" s="5" t="s">
        <v>69</v>
      </c>
      <c r="B6" s="6" t="n">
        <v>0</v>
      </c>
      <c r="C6" s="6" t="n">
        <v>0</v>
      </c>
      <c r="D6" s="6" t="n">
        <v>0</v>
      </c>
      <c r="E6" s="6" t="n">
        <v>77328.91</v>
      </c>
      <c r="F6" s="6" t="n">
        <v>20000</v>
      </c>
      <c r="G6" s="6" t="n">
        <v>0</v>
      </c>
      <c r="H6" s="6" t="n">
        <v>0</v>
      </c>
      <c r="I6" s="6" t="n">
        <f aca="false">SUM(B6:H6)</f>
        <v>97328.91</v>
      </c>
    </row>
    <row r="7" customFormat="false" ht="15" hidden="false" customHeight="true" outlineLevel="0" collapsed="false">
      <c r="A7" s="5" t="s">
        <v>70</v>
      </c>
      <c r="B7" s="6" t="n">
        <v>0</v>
      </c>
      <c r="C7" s="6" t="n">
        <v>58812</v>
      </c>
      <c r="D7" s="6" t="n">
        <v>3897.6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f aca="false">SUM(B7:H7)</f>
        <v>62709.6</v>
      </c>
    </row>
    <row r="8" customFormat="false" ht="15" hidden="false" customHeight="true" outlineLevel="0" collapsed="false">
      <c r="A8" s="5" t="s">
        <v>71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61642.4</v>
      </c>
      <c r="H8" s="6" t="n">
        <v>0</v>
      </c>
      <c r="I8" s="6" t="n">
        <f aca="false">SUM(B8:H8)</f>
        <v>61642.4</v>
      </c>
    </row>
    <row r="9" customFormat="false" ht="15" hidden="false" customHeight="true" outlineLevel="0" collapsed="false">
      <c r="A9" s="5" t="s">
        <v>72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15370</v>
      </c>
      <c r="H9" s="6" t="n">
        <v>30740</v>
      </c>
      <c r="I9" s="6" t="n">
        <f aca="false">SUM(B9:H9)</f>
        <v>46110</v>
      </c>
    </row>
    <row r="10" customFormat="false" ht="15" hidden="false" customHeight="true" outlineLevel="0" collapsed="false">
      <c r="A10" s="5" t="s">
        <v>73</v>
      </c>
      <c r="B10" s="6" t="n">
        <v>0</v>
      </c>
      <c r="C10" s="6" t="n">
        <v>0</v>
      </c>
      <c r="D10" s="6" t="n">
        <v>0</v>
      </c>
      <c r="E10" s="6" t="n">
        <v>14500</v>
      </c>
      <c r="F10" s="6" t="n">
        <v>0</v>
      </c>
      <c r="G10" s="6" t="n">
        <v>18000</v>
      </c>
      <c r="H10" s="6" t="n">
        <v>0</v>
      </c>
      <c r="I10" s="6" t="n">
        <f aca="false">SUM(B10:H10)</f>
        <v>32500</v>
      </c>
    </row>
    <row r="11" customFormat="false" ht="15" hidden="false" customHeight="true" outlineLevel="0" collapsed="false">
      <c r="A11" s="5" t="s">
        <v>74</v>
      </c>
      <c r="B11" s="6" t="n">
        <v>15000</v>
      </c>
      <c r="C11" s="6" t="n">
        <v>12000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f aca="false">SUM(B11:H11)</f>
        <v>27000</v>
      </c>
    </row>
    <row r="12" customFormat="false" ht="15" hidden="false" customHeight="true" outlineLevel="0" collapsed="false">
      <c r="A12" s="5" t="s">
        <v>75</v>
      </c>
      <c r="B12" s="6" t="n">
        <v>0</v>
      </c>
      <c r="C12" s="6" t="n">
        <v>0</v>
      </c>
      <c r="D12" s="6" t="n">
        <v>16800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f aca="false">SUM(B12:H12)</f>
        <v>16800</v>
      </c>
    </row>
    <row r="13" customFormat="false" ht="15" hidden="false" customHeight="true" outlineLevel="0" collapsed="false">
      <c r="A13" s="5" t="s">
        <v>76</v>
      </c>
      <c r="B13" s="6" t="n">
        <v>0</v>
      </c>
      <c r="C13" s="6" t="n">
        <v>5000</v>
      </c>
      <c r="D13" s="6" t="n">
        <v>0</v>
      </c>
      <c r="E13" s="6" t="n">
        <v>9856.45</v>
      </c>
      <c r="F13" s="6" t="n">
        <v>0</v>
      </c>
      <c r="G13" s="6" t="n">
        <v>0</v>
      </c>
      <c r="H13" s="6" t="n">
        <v>0</v>
      </c>
      <c r="I13" s="6" t="n">
        <f aca="false">SUM(B13:H13)</f>
        <v>14856.45</v>
      </c>
    </row>
    <row r="14" customFormat="false" ht="15" hidden="false" customHeight="true" outlineLevel="0" collapsed="false">
      <c r="A14" s="5" t="s">
        <v>77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1493.5</v>
      </c>
      <c r="G14" s="6" t="n">
        <v>13310.12</v>
      </c>
      <c r="H14" s="6" t="n">
        <v>0</v>
      </c>
      <c r="I14" s="6" t="n">
        <f aca="false">SUM(B14:H14)</f>
        <v>14803.62</v>
      </c>
    </row>
    <row r="15" customFormat="false" ht="15" hidden="false" customHeight="true" outlineLevel="0" collapsed="false">
      <c r="A15" s="5" t="s">
        <v>78</v>
      </c>
      <c r="B15" s="6" t="n">
        <v>0</v>
      </c>
      <c r="C15" s="6" t="n">
        <v>0</v>
      </c>
      <c r="D15" s="6" t="n">
        <v>0</v>
      </c>
      <c r="E15" s="6" t="n">
        <v>2728.32</v>
      </c>
      <c r="F15" s="6" t="n">
        <v>3410</v>
      </c>
      <c r="G15" s="6" t="n">
        <v>3970.21</v>
      </c>
      <c r="H15" s="6" t="n">
        <v>4235.94</v>
      </c>
      <c r="I15" s="6" t="n">
        <f aca="false">SUM(B15:H15)</f>
        <v>14344.47</v>
      </c>
    </row>
    <row r="16" customFormat="false" ht="15" hidden="false" customHeight="true" outlineLevel="0" collapsed="false">
      <c r="A16" s="5" t="s">
        <v>79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7222</v>
      </c>
      <c r="H16" s="6" t="n">
        <v>6666.98</v>
      </c>
      <c r="I16" s="6" t="n">
        <f aca="false">SUM(B16:H16)</f>
        <v>13888.98</v>
      </c>
    </row>
    <row r="17" customFormat="false" ht="15" hidden="false" customHeight="true" outlineLevel="0" collapsed="false">
      <c r="A17" s="5" t="s">
        <v>80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10788</v>
      </c>
      <c r="H17" s="6" t="n">
        <v>0</v>
      </c>
      <c r="I17" s="6" t="n">
        <f aca="false">SUM(B17:H17)</f>
        <v>10788</v>
      </c>
    </row>
    <row r="18" customFormat="false" ht="15" hidden="false" customHeight="true" outlineLevel="0" collapsed="false">
      <c r="A18" s="5" t="s">
        <v>81</v>
      </c>
      <c r="B18" s="6" t="n">
        <v>0</v>
      </c>
      <c r="C18" s="6" t="n">
        <v>8120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f aca="false">SUM(B18:H18)</f>
        <v>8120</v>
      </c>
    </row>
    <row r="19" customFormat="false" ht="15" hidden="false" customHeight="true" outlineLevel="0" collapsed="false">
      <c r="A19" s="5" t="s">
        <v>82</v>
      </c>
      <c r="B19" s="6" t="n">
        <v>0</v>
      </c>
      <c r="C19" s="6" t="n">
        <v>8000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f aca="false">SUM(B19:H19)</f>
        <v>8000</v>
      </c>
    </row>
    <row r="20" customFormat="false" ht="15" hidden="false" customHeight="true" outlineLevel="0" collapsed="false">
      <c r="A20" s="5" t="s">
        <v>83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7192</v>
      </c>
      <c r="I20" s="6" t="n">
        <f aca="false">SUM(B20:H20)</f>
        <v>7192</v>
      </c>
    </row>
    <row r="21" customFormat="false" ht="15" hidden="false" customHeight="true" outlineLevel="0" collapsed="false">
      <c r="A21" s="5" t="s">
        <v>84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7134</v>
      </c>
      <c r="I21" s="6" t="n">
        <f aca="false">SUM(B21:H21)</f>
        <v>7134</v>
      </c>
    </row>
    <row r="22" customFormat="false" ht="15" hidden="false" customHeight="true" outlineLevel="0" collapsed="false">
      <c r="A22" s="5" t="s">
        <v>85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4172.11</v>
      </c>
      <c r="I22" s="6" t="n">
        <f aca="false">SUM(B22:H22)</f>
        <v>4172.11</v>
      </c>
    </row>
    <row r="23" customFormat="false" ht="15" hidden="false" customHeight="true" outlineLevel="0" collapsed="false">
      <c r="A23" s="5" t="s">
        <v>86</v>
      </c>
      <c r="B23" s="6" t="n">
        <v>0</v>
      </c>
      <c r="C23" s="6" t="n">
        <v>0</v>
      </c>
      <c r="D23" s="6" t="n">
        <v>3981.94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f aca="false">SUM(B23:H23)</f>
        <v>3981.94</v>
      </c>
    </row>
    <row r="24" customFormat="false" ht="15" hidden="false" customHeight="true" outlineLevel="0" collapsed="false">
      <c r="A24" s="5" t="s">
        <v>87</v>
      </c>
      <c r="B24" s="6" t="n">
        <v>0</v>
      </c>
      <c r="C24" s="6" t="n">
        <v>3648.39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f aca="false">SUM(B24:H24)</f>
        <v>3648.39</v>
      </c>
    </row>
    <row r="25" customFormat="false" ht="15" hidden="false" customHeight="true" outlineLevel="0" collapsed="false">
      <c r="A25" s="5" t="s">
        <v>88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2868</v>
      </c>
      <c r="G25" s="6" t="n">
        <v>0</v>
      </c>
      <c r="H25" s="6" t="n">
        <v>0</v>
      </c>
      <c r="I25" s="6" t="n">
        <f aca="false">SUM(B25:H25)</f>
        <v>2868</v>
      </c>
    </row>
    <row r="26" customFormat="false" ht="15" hidden="false" customHeight="true" outlineLevel="0" collapsed="false">
      <c r="A26" s="5" t="s">
        <v>89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1783</v>
      </c>
      <c r="I26" s="6" t="n">
        <f aca="false">SUM(B26:H26)</f>
        <v>1783</v>
      </c>
    </row>
    <row r="27" customFormat="false" ht="15" hidden="false" customHeight="true" outlineLevel="0" collapsed="false">
      <c r="A27" s="5" t="s">
        <v>90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1076</v>
      </c>
      <c r="H27" s="6" t="n">
        <v>0</v>
      </c>
      <c r="I27" s="6" t="n">
        <f aca="false">SUM(B27:H27)</f>
        <v>1076</v>
      </c>
    </row>
    <row r="28" customFormat="false" ht="15" hidden="false" customHeight="true" outlineLevel="0" collapsed="false">
      <c r="A28" s="5" t="s">
        <v>91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600</v>
      </c>
      <c r="H28" s="6" t="n">
        <v>0</v>
      </c>
      <c r="I28" s="6" t="n">
        <f aca="false">SUM(B28:H28)</f>
        <v>600</v>
      </c>
    </row>
    <row r="29" customFormat="false" ht="15" hidden="false" customHeight="true" outlineLevel="0" collapsed="false">
      <c r="A29" s="5" t="s">
        <v>92</v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f aca="false">SUM(B29:H29)</f>
        <v>0</v>
      </c>
    </row>
    <row r="30" customFormat="false" ht="15" hidden="false" customHeight="true" outlineLevel="0" collapsed="false">
      <c r="A30" s="5" t="s">
        <v>93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f aca="false">SUM(B30:H30)</f>
        <v>0</v>
      </c>
    </row>
    <row r="31" customFormat="false" ht="15" hidden="false" customHeight="true" outlineLevel="0" collapsed="false">
      <c r="A31" s="5" t="s">
        <v>94</v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f aca="false">SUM(B31:H31)</f>
        <v>0</v>
      </c>
    </row>
    <row r="32" customFormat="false" ht="15" hidden="false" customHeight="true" outlineLevel="0" collapsed="false">
      <c r="A32" s="5" t="s">
        <v>95</v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f aca="false">SUM(B32:H32)</f>
        <v>0</v>
      </c>
    </row>
    <row r="33" customFormat="false" ht="15" hidden="false" customHeight="true" outlineLevel="0" collapsed="false">
      <c r="A33" s="5" t="s">
        <v>96</v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f aca="false">SUM(B33:H33)</f>
        <v>0</v>
      </c>
    </row>
    <row r="34" customFormat="false" ht="15" hidden="false" customHeight="true" outlineLevel="0" collapsed="false">
      <c r="A34" s="7" t="s">
        <v>173</v>
      </c>
      <c r="B34" s="8" t="n">
        <f aca="false">SUM(B4:B33)</f>
        <v>15000</v>
      </c>
      <c r="C34" s="8" t="n">
        <f aca="false">SUM(C4:C33)</f>
        <v>95580.39</v>
      </c>
      <c r="D34" s="8" t="n">
        <f aca="false">SUM(D4:D33)</f>
        <v>34481.54</v>
      </c>
      <c r="E34" s="8" t="n">
        <f aca="false">SUM(E4:E33)</f>
        <v>124017.68</v>
      </c>
      <c r="F34" s="8" t="n">
        <f aca="false">SUM(F4:F33)</f>
        <v>29668.1</v>
      </c>
      <c r="G34" s="8" t="n">
        <f aca="false">SUM(G4:G33)</f>
        <v>227823.73</v>
      </c>
      <c r="H34" s="8" t="n">
        <f aca="false">SUM(H4:H33)</f>
        <v>215479.03</v>
      </c>
      <c r="I34" s="8" t="n">
        <f aca="false">SUM(I4:I33)</f>
        <v>742050.47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174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99</v>
      </c>
      <c r="B4" s="6" t="n">
        <v>0</v>
      </c>
      <c r="C4" s="6" t="n">
        <v>280000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f aca="false">SUM(B4:H4)</f>
        <v>280000</v>
      </c>
    </row>
    <row r="5" customFormat="false" ht="15" hidden="false" customHeight="true" outlineLevel="0" collapsed="false">
      <c r="A5" s="5" t="s">
        <v>100</v>
      </c>
      <c r="B5" s="6" t="n">
        <v>0</v>
      </c>
      <c r="C5" s="6" t="n">
        <v>260435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f aca="false">SUM(B5:H5)</f>
        <v>260435</v>
      </c>
    </row>
    <row r="6" customFormat="false" ht="15" hidden="false" customHeight="true" outlineLevel="0" collapsed="false">
      <c r="A6" s="5" t="s">
        <v>101</v>
      </c>
      <c r="B6" s="6" t="n">
        <v>0</v>
      </c>
      <c r="C6" s="6" t="n">
        <v>83200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f aca="false">SUM(B6:H6)</f>
        <v>83200</v>
      </c>
    </row>
    <row r="7" customFormat="false" ht="15" hidden="false" customHeight="true" outlineLevel="0" collapsed="false">
      <c r="A7" s="5" t="s">
        <v>102</v>
      </c>
      <c r="B7" s="6" t="n">
        <v>0</v>
      </c>
      <c r="C7" s="6" t="n">
        <v>0</v>
      </c>
      <c r="D7" s="6" t="n">
        <v>0</v>
      </c>
      <c r="E7" s="6" t="n">
        <v>20000</v>
      </c>
      <c r="F7" s="6" t="n">
        <v>40000</v>
      </c>
      <c r="G7" s="6" t="n">
        <v>0</v>
      </c>
      <c r="H7" s="6" t="n">
        <v>0</v>
      </c>
      <c r="I7" s="6" t="n">
        <f aca="false">SUM(B7:H7)</f>
        <v>60000</v>
      </c>
    </row>
    <row r="8" customFormat="false" ht="15" hidden="false" customHeight="true" outlineLevel="0" collapsed="false">
      <c r="A8" s="5" t="s">
        <v>103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50000</v>
      </c>
      <c r="G8" s="6" t="n">
        <v>0</v>
      </c>
      <c r="H8" s="6" t="n">
        <v>0</v>
      </c>
      <c r="I8" s="6" t="n">
        <f aca="false">SUM(B8:H8)</f>
        <v>50000</v>
      </c>
    </row>
    <row r="9" customFormat="false" ht="15" hidden="false" customHeight="true" outlineLevel="0" collapsed="false">
      <c r="A9" s="5" t="s">
        <v>104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14500</v>
      </c>
      <c r="G9" s="6" t="n">
        <v>0</v>
      </c>
      <c r="H9" s="6" t="n">
        <v>0</v>
      </c>
      <c r="I9" s="6" t="n">
        <f aca="false">SUM(B9:H9)</f>
        <v>14500</v>
      </c>
    </row>
    <row r="10" customFormat="false" ht="15" hidden="false" customHeight="true" outlineLevel="0" collapsed="false">
      <c r="A10" s="5" t="s">
        <v>105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11000</v>
      </c>
      <c r="I10" s="6" t="n">
        <f aca="false">SUM(B10:H10)</f>
        <v>11000</v>
      </c>
    </row>
    <row r="11" customFormat="false" ht="15" hidden="false" customHeight="true" outlineLevel="0" collapsed="false">
      <c r="A11" s="5" t="s">
        <v>106</v>
      </c>
      <c r="B11" s="6" t="n">
        <v>0</v>
      </c>
      <c r="C11" s="6" t="n">
        <v>9280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f aca="false">SUM(B11:H11)</f>
        <v>9280</v>
      </c>
    </row>
    <row r="12" customFormat="false" ht="15" hidden="false" customHeight="true" outlineLevel="0" collapsed="false">
      <c r="A12" s="5" t="s">
        <v>107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8120</v>
      </c>
      <c r="G12" s="6" t="n">
        <v>0</v>
      </c>
      <c r="H12" s="6" t="n">
        <v>0</v>
      </c>
      <c r="I12" s="6" t="n">
        <f aca="false">SUM(B12:H12)</f>
        <v>8120</v>
      </c>
    </row>
    <row r="13" customFormat="false" ht="15" hidden="false" customHeight="true" outlineLevel="0" collapsed="false">
      <c r="A13" s="5" t="s">
        <v>108</v>
      </c>
      <c r="B13" s="6" t="n">
        <v>0</v>
      </c>
      <c r="C13" s="6" t="n">
        <v>0</v>
      </c>
      <c r="D13" s="6" t="n">
        <v>0</v>
      </c>
      <c r="E13" s="6" t="n">
        <v>8000</v>
      </c>
      <c r="F13" s="6" t="n">
        <v>0</v>
      </c>
      <c r="G13" s="6" t="n">
        <v>0</v>
      </c>
      <c r="H13" s="6" t="n">
        <v>0</v>
      </c>
      <c r="I13" s="6" t="n">
        <f aca="false">SUM(B13:H13)</f>
        <v>8000</v>
      </c>
    </row>
    <row r="14" customFormat="false" ht="15" hidden="false" customHeight="true" outlineLevel="0" collapsed="false">
      <c r="A14" s="5" t="s">
        <v>109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7540</v>
      </c>
      <c r="G14" s="6" t="n">
        <v>0</v>
      </c>
      <c r="H14" s="6" t="n">
        <v>0</v>
      </c>
      <c r="I14" s="6" t="n">
        <f aca="false">SUM(B14:H14)</f>
        <v>7540</v>
      </c>
    </row>
    <row r="15" customFormat="false" ht="15" hidden="false" customHeight="true" outlineLevel="0" collapsed="false">
      <c r="A15" s="5" t="s">
        <v>110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7499</v>
      </c>
      <c r="G15" s="6" t="n">
        <v>0</v>
      </c>
      <c r="H15" s="6" t="n">
        <v>0</v>
      </c>
      <c r="I15" s="6" t="n">
        <f aca="false">SUM(B15:H15)</f>
        <v>7499</v>
      </c>
    </row>
    <row r="16" customFormat="false" ht="15" hidden="false" customHeight="true" outlineLevel="0" collapsed="false">
      <c r="A16" s="5" t="s">
        <v>111</v>
      </c>
      <c r="B16" s="6" t="n">
        <v>0</v>
      </c>
      <c r="C16" s="6" t="n">
        <v>0</v>
      </c>
      <c r="D16" s="6" t="n">
        <v>0</v>
      </c>
      <c r="E16" s="6" t="n">
        <v>6500</v>
      </c>
      <c r="F16" s="6" t="n">
        <v>0</v>
      </c>
      <c r="G16" s="6" t="n">
        <v>0</v>
      </c>
      <c r="H16" s="6" t="n">
        <v>0</v>
      </c>
      <c r="I16" s="6" t="n">
        <f aca="false">SUM(B16:H16)</f>
        <v>6500</v>
      </c>
    </row>
    <row r="17" customFormat="false" ht="15" hidden="false" customHeight="true" outlineLevel="0" collapsed="false">
      <c r="A17" s="5" t="s">
        <v>112</v>
      </c>
      <c r="B17" s="6" t="n">
        <v>0</v>
      </c>
      <c r="C17" s="6" t="n">
        <v>6020.4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f aca="false">SUM(B17:H17)</f>
        <v>6020.4</v>
      </c>
    </row>
    <row r="18" customFormat="false" ht="15" hidden="false" customHeight="true" outlineLevel="0" collapsed="false">
      <c r="A18" s="5" t="s">
        <v>113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4674</v>
      </c>
      <c r="I18" s="6" t="n">
        <f aca="false">SUM(B18:H18)</f>
        <v>4674</v>
      </c>
    </row>
    <row r="19" customFormat="false" ht="15" hidden="false" customHeight="true" outlineLevel="0" collapsed="false">
      <c r="A19" s="5" t="s">
        <v>114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3888</v>
      </c>
      <c r="H19" s="6" t="n">
        <v>0</v>
      </c>
      <c r="I19" s="6" t="n">
        <f aca="false">SUM(B19:H19)</f>
        <v>3888</v>
      </c>
    </row>
    <row r="20" customFormat="false" ht="15" hidden="false" customHeight="true" outlineLevel="0" collapsed="false">
      <c r="A20" s="5" t="s">
        <v>115</v>
      </c>
      <c r="B20" s="6" t="n">
        <v>0</v>
      </c>
      <c r="C20" s="6" t="n">
        <v>0</v>
      </c>
      <c r="D20" s="6" t="n">
        <v>2041.71</v>
      </c>
      <c r="E20" s="6" t="n">
        <v>0</v>
      </c>
      <c r="F20" s="6" t="n">
        <v>0</v>
      </c>
      <c r="G20" s="6" t="n">
        <v>1441.56</v>
      </c>
      <c r="H20" s="6" t="n">
        <v>0</v>
      </c>
      <c r="I20" s="6" t="n">
        <f aca="false">SUM(B20:H20)</f>
        <v>3483.27</v>
      </c>
    </row>
    <row r="21" customFormat="false" ht="15" hidden="false" customHeight="true" outlineLevel="0" collapsed="false">
      <c r="A21" s="5" t="s">
        <v>116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3310</v>
      </c>
      <c r="H21" s="6" t="n">
        <v>0</v>
      </c>
      <c r="I21" s="6" t="n">
        <f aca="false">SUM(B21:H21)</f>
        <v>3310</v>
      </c>
    </row>
    <row r="22" customFormat="false" ht="15" hidden="false" customHeight="true" outlineLevel="0" collapsed="false">
      <c r="A22" s="5" t="s">
        <v>117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2501.41</v>
      </c>
      <c r="G22" s="6" t="n">
        <v>0</v>
      </c>
      <c r="H22" s="6" t="n">
        <v>0</v>
      </c>
      <c r="I22" s="6" t="n">
        <f aca="false">SUM(B22:H22)</f>
        <v>2501.41</v>
      </c>
    </row>
    <row r="23" customFormat="false" ht="15" hidden="false" customHeight="true" outlineLevel="0" collapsed="false">
      <c r="A23" s="5" t="s">
        <v>118</v>
      </c>
      <c r="B23" s="6" t="n">
        <v>0</v>
      </c>
      <c r="C23" s="6" t="n">
        <v>0</v>
      </c>
      <c r="D23" s="6" t="n">
        <v>0</v>
      </c>
      <c r="E23" s="6" t="n">
        <v>2400</v>
      </c>
      <c r="F23" s="6" t="n">
        <v>0</v>
      </c>
      <c r="G23" s="6" t="n">
        <v>0</v>
      </c>
      <c r="H23" s="6" t="n">
        <v>0</v>
      </c>
      <c r="I23" s="6" t="n">
        <f aca="false">SUM(B23:H23)</f>
        <v>2400</v>
      </c>
    </row>
    <row r="24" customFormat="false" ht="15" hidden="false" customHeight="true" outlineLevel="0" collapsed="false">
      <c r="A24" s="5" t="s">
        <v>119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2400</v>
      </c>
      <c r="G24" s="6" t="n">
        <v>0</v>
      </c>
      <c r="H24" s="6" t="n">
        <v>0</v>
      </c>
      <c r="I24" s="6" t="n">
        <f aca="false">SUM(B24:H24)</f>
        <v>2400</v>
      </c>
    </row>
    <row r="25" customFormat="false" ht="15" hidden="false" customHeight="true" outlineLevel="0" collapsed="false">
      <c r="A25" s="5" t="s">
        <v>120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1551</v>
      </c>
      <c r="I25" s="6" t="n">
        <f aca="false">SUM(B25:H25)</f>
        <v>1551</v>
      </c>
    </row>
    <row r="26" customFormat="false" ht="15" hidden="false" customHeight="true" outlineLevel="0" collapsed="false">
      <c r="A26" s="5" t="s">
        <v>121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1044</v>
      </c>
      <c r="I26" s="6" t="n">
        <f aca="false">SUM(B26:H26)</f>
        <v>1044</v>
      </c>
    </row>
    <row r="27" customFormat="false" ht="15" hidden="false" customHeight="true" outlineLevel="0" collapsed="false">
      <c r="A27" s="5" t="s">
        <v>122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520</v>
      </c>
      <c r="H27" s="6" t="n">
        <v>0</v>
      </c>
      <c r="I27" s="6" t="n">
        <f aca="false">SUM(B27:H27)</f>
        <v>520</v>
      </c>
    </row>
    <row r="28" customFormat="false" ht="15" hidden="false" customHeight="true" outlineLevel="0" collapsed="false">
      <c r="A28" s="5" t="s">
        <v>123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f aca="false">SUM(B28:H28)</f>
        <v>0</v>
      </c>
    </row>
    <row r="29" customFormat="false" ht="15" hidden="false" customHeight="true" outlineLevel="0" collapsed="false">
      <c r="A29" s="5" t="s">
        <v>124</v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f aca="false">SUM(B29:H29)</f>
        <v>0</v>
      </c>
    </row>
    <row r="30" customFormat="false" ht="15" hidden="false" customHeight="true" outlineLevel="0" collapsed="false">
      <c r="A30" s="5" t="s">
        <v>125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f aca="false">SUM(B30:H30)</f>
        <v>0</v>
      </c>
    </row>
    <row r="31" customFormat="false" ht="15" hidden="false" customHeight="true" outlineLevel="0" collapsed="false">
      <c r="A31" s="5" t="s">
        <v>126</v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f aca="false">SUM(B31:H31)</f>
        <v>0</v>
      </c>
    </row>
    <row r="32" customFormat="false" ht="15" hidden="false" customHeight="true" outlineLevel="0" collapsed="false">
      <c r="A32" s="5" t="s">
        <v>127</v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f aca="false">SUM(B32:H32)</f>
        <v>0</v>
      </c>
    </row>
    <row r="33" customFormat="false" ht="15" hidden="false" customHeight="true" outlineLevel="0" collapsed="false">
      <c r="A33" s="5" t="s">
        <v>128</v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f aca="false">SUM(B33:H33)</f>
        <v>0</v>
      </c>
    </row>
    <row r="34" customFormat="false" ht="15" hidden="false" customHeight="true" outlineLevel="0" collapsed="false">
      <c r="A34" s="5" t="s">
        <v>129</v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f aca="false">SUM(B34:H34)</f>
        <v>0</v>
      </c>
    </row>
    <row r="35" customFormat="false" ht="15" hidden="false" customHeight="true" outlineLevel="0" collapsed="false">
      <c r="A35" s="7" t="s">
        <v>175</v>
      </c>
      <c r="B35" s="8" t="n">
        <f aca="false">SUM(B4:B34)</f>
        <v>0</v>
      </c>
      <c r="C35" s="8" t="n">
        <f aca="false">SUM(C4:C34)</f>
        <v>638935.4</v>
      </c>
      <c r="D35" s="8" t="n">
        <f aca="false">SUM(D4:D34)</f>
        <v>2041.71</v>
      </c>
      <c r="E35" s="8" t="n">
        <f aca="false">SUM(E4:E34)</f>
        <v>36900</v>
      </c>
      <c r="F35" s="8" t="n">
        <f aca="false">SUM(F4:F34)</f>
        <v>132560.41</v>
      </c>
      <c r="G35" s="8" t="n">
        <f aca="false">SUM(G4:G34)</f>
        <v>9159.56</v>
      </c>
      <c r="H35" s="8" t="n">
        <f aca="false">SUM(H4:H34)</f>
        <v>18269</v>
      </c>
      <c r="I35" s="8" t="n">
        <f aca="false">SUM(I4:I34)</f>
        <v>837866.08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176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132</v>
      </c>
      <c r="B4" s="6" t="n">
        <v>0</v>
      </c>
      <c r="C4" s="6" t="n">
        <v>9588.28</v>
      </c>
      <c r="D4" s="6" t="n">
        <v>19858.96</v>
      </c>
      <c r="E4" s="6" t="n">
        <v>16218.6</v>
      </c>
      <c r="F4" s="6" t="n">
        <v>29133.384</v>
      </c>
      <c r="G4" s="6" t="n">
        <v>30206.19</v>
      </c>
      <c r="H4" s="6" t="n">
        <v>41095.404</v>
      </c>
      <c r="I4" s="6" t="n">
        <f aca="false">SUM(B4:H4)</f>
        <v>146100.818</v>
      </c>
    </row>
    <row r="5" customFormat="false" ht="15" hidden="false" customHeight="true" outlineLevel="0" collapsed="false">
      <c r="A5" s="5" t="s">
        <v>133</v>
      </c>
      <c r="B5" s="6" t="n">
        <v>18000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8952.3</v>
      </c>
      <c r="H5" s="6" t="n">
        <v>8952.3</v>
      </c>
      <c r="I5" s="6" t="n">
        <f aca="false">SUM(B5:H5)</f>
        <v>35904.6</v>
      </c>
    </row>
    <row r="6" customFormat="false" ht="15" hidden="false" customHeight="true" outlineLevel="0" collapsed="false">
      <c r="A6" s="5" t="s">
        <v>134</v>
      </c>
      <c r="B6" s="6" t="n">
        <v>6000</v>
      </c>
      <c r="C6" s="6" t="n">
        <v>8352</v>
      </c>
      <c r="D6" s="6" t="n">
        <v>0</v>
      </c>
      <c r="E6" s="6" t="n">
        <v>0</v>
      </c>
      <c r="F6" s="6" t="n">
        <v>3828</v>
      </c>
      <c r="G6" s="6" t="n">
        <v>5568</v>
      </c>
      <c r="H6" s="6" t="n">
        <v>0</v>
      </c>
      <c r="I6" s="6" t="n">
        <f aca="false">SUM(B6:H6)</f>
        <v>23748</v>
      </c>
    </row>
    <row r="7" customFormat="false" ht="15" hidden="false" customHeight="true" outlineLevel="0" collapsed="false">
      <c r="A7" s="5" t="s">
        <v>135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14500</v>
      </c>
      <c r="H7" s="6" t="n">
        <v>0</v>
      </c>
      <c r="I7" s="6" t="n">
        <f aca="false">SUM(B7:H7)</f>
        <v>14500</v>
      </c>
    </row>
    <row r="8" customFormat="false" ht="15" hidden="false" customHeight="true" outlineLevel="0" collapsed="false">
      <c r="A8" s="5" t="s">
        <v>136</v>
      </c>
      <c r="B8" s="6" t="n">
        <v>0</v>
      </c>
      <c r="C8" s="6" t="n">
        <v>12000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f aca="false">SUM(B8:H8)</f>
        <v>12000</v>
      </c>
    </row>
    <row r="9" customFormat="false" ht="15" hidden="false" customHeight="true" outlineLevel="0" collapsed="false">
      <c r="A9" s="5" t="s">
        <v>137</v>
      </c>
      <c r="B9" s="6" t="n">
        <v>0</v>
      </c>
      <c r="C9" s="6" t="n">
        <v>3014.2</v>
      </c>
      <c r="D9" s="6" t="n">
        <v>0</v>
      </c>
      <c r="E9" s="6" t="n">
        <v>0</v>
      </c>
      <c r="F9" s="6" t="n">
        <v>0</v>
      </c>
      <c r="G9" s="6" t="n">
        <v>2277.13</v>
      </c>
      <c r="H9" s="6" t="n">
        <v>6086.26</v>
      </c>
      <c r="I9" s="6" t="n">
        <f aca="false">SUM(B9:H9)</f>
        <v>11377.59</v>
      </c>
    </row>
    <row r="10" customFormat="false" ht="15" hidden="false" customHeight="true" outlineLevel="0" collapsed="false">
      <c r="A10" s="5" t="s">
        <v>138</v>
      </c>
      <c r="B10" s="6" t="n">
        <v>0</v>
      </c>
      <c r="C10" s="6" t="n">
        <v>10000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f aca="false">SUM(B10:H10)</f>
        <v>10000</v>
      </c>
    </row>
    <row r="11" customFormat="false" ht="15" hidden="false" customHeight="true" outlineLevel="0" collapsed="false">
      <c r="A11" s="5" t="s">
        <v>139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6042.2</v>
      </c>
      <c r="I11" s="6" t="n">
        <f aca="false">SUM(B11:H11)</f>
        <v>6042.2</v>
      </c>
    </row>
    <row r="12" customFormat="false" ht="15" hidden="false" customHeight="true" outlineLevel="0" collapsed="false">
      <c r="A12" s="5" t="s">
        <v>140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2900</v>
      </c>
      <c r="H12" s="6" t="n">
        <v>0</v>
      </c>
      <c r="I12" s="6" t="n">
        <f aca="false">SUM(B12:H12)</f>
        <v>2900</v>
      </c>
    </row>
    <row r="13" customFormat="false" ht="15" hidden="false" customHeight="true" outlineLevel="0" collapsed="false">
      <c r="A13" s="5" t="s">
        <v>141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2516.21</v>
      </c>
      <c r="H13" s="6" t="n">
        <v>0</v>
      </c>
      <c r="I13" s="6" t="n">
        <f aca="false">SUM(B13:H13)</f>
        <v>2516.21</v>
      </c>
    </row>
    <row r="14" customFormat="false" ht="15" hidden="false" customHeight="true" outlineLevel="0" collapsed="false">
      <c r="A14" s="5" t="s">
        <v>142</v>
      </c>
      <c r="B14" s="6" t="n">
        <v>0</v>
      </c>
      <c r="C14" s="6" t="n">
        <v>2000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f aca="false">SUM(B14:H14)</f>
        <v>2000</v>
      </c>
    </row>
    <row r="15" customFormat="false" ht="15" hidden="false" customHeight="true" outlineLevel="0" collapsed="false">
      <c r="A15" s="5" t="s">
        <v>143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f aca="false">SUM(B15:H15)</f>
        <v>0</v>
      </c>
    </row>
    <row r="16" customFormat="false" ht="15" hidden="false" customHeight="true" outlineLevel="0" collapsed="false">
      <c r="A16" s="5" t="s">
        <v>144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f aca="false">SUM(B16:H16)</f>
        <v>0</v>
      </c>
    </row>
    <row r="17" customFormat="false" ht="15" hidden="false" customHeight="true" outlineLevel="0" collapsed="false">
      <c r="A17" s="5" t="s">
        <v>145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f aca="false">SUM(B17:H17)</f>
        <v>0</v>
      </c>
    </row>
    <row r="18" customFormat="false" ht="15" hidden="false" customHeight="true" outlineLevel="0" collapsed="false">
      <c r="A18" s="5" t="s">
        <v>146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f aca="false">SUM(B18:H18)</f>
        <v>0</v>
      </c>
    </row>
    <row r="19" customFormat="false" ht="15" hidden="false" customHeight="true" outlineLevel="0" collapsed="false">
      <c r="A19" s="7" t="s">
        <v>177</v>
      </c>
      <c r="B19" s="8" t="n">
        <f aca="false">SUM(B4:B18)</f>
        <v>24000</v>
      </c>
      <c r="C19" s="8" t="n">
        <f aca="false">SUM(C4:C18)</f>
        <v>44954.48</v>
      </c>
      <c r="D19" s="8" t="n">
        <f aca="false">SUM(D4:D18)</f>
        <v>19858.96</v>
      </c>
      <c r="E19" s="8" t="n">
        <f aca="false">SUM(E4:E18)</f>
        <v>16218.6</v>
      </c>
      <c r="F19" s="8" t="n">
        <f aca="false">SUM(F4:F18)</f>
        <v>32961.384</v>
      </c>
      <c r="G19" s="8" t="n">
        <f aca="false">SUM(G4:G18)</f>
        <v>66919.83</v>
      </c>
      <c r="H19" s="8" t="n">
        <f aca="false">SUM(H4:H18)</f>
        <v>62176.164</v>
      </c>
      <c r="I19" s="8" t="n">
        <f aca="false">SUM(I4:I18)</f>
        <v>267089.418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178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149</v>
      </c>
      <c r="B4" s="6" t="n">
        <v>0</v>
      </c>
      <c r="C4" s="6" t="n">
        <v>10000</v>
      </c>
      <c r="D4" s="6" t="n">
        <v>0</v>
      </c>
      <c r="E4" s="6" t="n">
        <v>0</v>
      </c>
      <c r="F4" s="6" t="n">
        <v>0</v>
      </c>
      <c r="G4" s="6" t="n">
        <v>32652.68</v>
      </c>
      <c r="H4" s="6" t="n">
        <v>26453.74</v>
      </c>
      <c r="I4" s="6" t="n">
        <f aca="false">SUM(B4:H4)</f>
        <v>69106.42</v>
      </c>
    </row>
    <row r="5" customFormat="false" ht="15" hidden="false" customHeight="true" outlineLevel="0" collapsed="false">
      <c r="A5" s="5" t="s">
        <v>150</v>
      </c>
      <c r="B5" s="6" t="n">
        <v>0</v>
      </c>
      <c r="C5" s="6" t="n">
        <v>0</v>
      </c>
      <c r="D5" s="6" t="n">
        <v>30000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f aca="false">SUM(B5:H5)</f>
        <v>30000</v>
      </c>
    </row>
    <row r="6" customFormat="false" ht="15" hidden="false" customHeight="true" outlineLevel="0" collapsed="false">
      <c r="A6" s="5" t="s">
        <v>151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9676.45</v>
      </c>
      <c r="H6" s="6" t="n">
        <v>14685.06</v>
      </c>
      <c r="I6" s="6" t="n">
        <f aca="false">SUM(B6:H6)</f>
        <v>24361.51</v>
      </c>
    </row>
    <row r="7" customFormat="false" ht="15" hidden="false" customHeight="true" outlineLevel="0" collapsed="false">
      <c r="A7" s="5" t="s">
        <v>152</v>
      </c>
      <c r="B7" s="6" t="n">
        <v>17470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f aca="false">SUM(B7:H7)</f>
        <v>17470</v>
      </c>
    </row>
    <row r="8" customFormat="false" ht="15" hidden="false" customHeight="true" outlineLevel="0" collapsed="false">
      <c r="A8" s="5" t="s">
        <v>153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13428</v>
      </c>
      <c r="I8" s="6" t="n">
        <f aca="false">SUM(B8:H8)</f>
        <v>13428</v>
      </c>
    </row>
    <row r="9" customFormat="false" ht="15" hidden="false" customHeight="true" outlineLevel="0" collapsed="false">
      <c r="A9" s="5" t="s">
        <v>154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11600</v>
      </c>
      <c r="H9" s="6" t="n">
        <v>0</v>
      </c>
      <c r="I9" s="6" t="n">
        <f aca="false">SUM(B9:H9)</f>
        <v>11600</v>
      </c>
    </row>
    <row r="10" customFormat="false" ht="15" hidden="false" customHeight="true" outlineLevel="0" collapsed="false">
      <c r="A10" s="5" t="s">
        <v>155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10801</v>
      </c>
      <c r="I10" s="6" t="n">
        <f aca="false">SUM(B10:H10)</f>
        <v>10801</v>
      </c>
    </row>
    <row r="11" customFormat="false" ht="15" hidden="false" customHeight="true" outlineLevel="0" collapsed="false">
      <c r="A11" s="5" t="s">
        <v>156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10000</v>
      </c>
      <c r="H11" s="6" t="n">
        <v>0</v>
      </c>
      <c r="I11" s="6" t="n">
        <f aca="false">SUM(B11:H11)</f>
        <v>10000</v>
      </c>
    </row>
    <row r="12" customFormat="false" ht="15" hidden="false" customHeight="true" outlineLevel="0" collapsed="false">
      <c r="A12" s="5" t="s">
        <v>157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f aca="false">SUM(B12:H12)</f>
        <v>0</v>
      </c>
    </row>
    <row r="13" customFormat="false" ht="15" hidden="false" customHeight="true" outlineLevel="0" collapsed="false">
      <c r="A13" s="5" t="s">
        <v>158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f aca="false">SUM(B13:H13)</f>
        <v>0</v>
      </c>
    </row>
    <row r="14" customFormat="false" ht="15" hidden="false" customHeight="true" outlineLevel="0" collapsed="false">
      <c r="A14" s="7" t="s">
        <v>179</v>
      </c>
      <c r="B14" s="8" t="n">
        <f aca="false">SUM(B4:B13)</f>
        <v>17470</v>
      </c>
      <c r="C14" s="8" t="n">
        <f aca="false">SUM(C4:C13)</f>
        <v>10000</v>
      </c>
      <c r="D14" s="8" t="n">
        <f aca="false">SUM(D4:D13)</f>
        <v>30000</v>
      </c>
      <c r="E14" s="8" t="n">
        <f aca="false">SUM(E4:E13)</f>
        <v>0</v>
      </c>
      <c r="F14" s="8" t="n">
        <f aca="false">SUM(F4:F13)</f>
        <v>0</v>
      </c>
      <c r="G14" s="8" t="n">
        <f aca="false">SUM(G4:G13)</f>
        <v>63929.13</v>
      </c>
      <c r="H14" s="8" t="n">
        <f aca="false">SUM(H4:H13)</f>
        <v>65367.8</v>
      </c>
      <c r="I14" s="8" t="n">
        <f aca="false">SUM(I4:I13)</f>
        <v>186766.93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180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161</v>
      </c>
      <c r="B4" s="6" t="n">
        <v>0</v>
      </c>
      <c r="C4" s="6" t="n">
        <v>50000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f aca="false">SUM(B4:H4)</f>
        <v>50000</v>
      </c>
    </row>
    <row r="5" customFormat="false" ht="15" hidden="false" customHeight="true" outlineLevel="0" collapsed="false">
      <c r="A5" s="5" t="s">
        <v>162</v>
      </c>
      <c r="B5" s="6" t="n">
        <v>37000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f aca="false">SUM(B5:H5)</f>
        <v>37000</v>
      </c>
    </row>
    <row r="6" customFormat="false" ht="15" hidden="false" customHeight="true" outlineLevel="0" collapsed="false">
      <c r="A6" s="5" t="s">
        <v>163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18768</v>
      </c>
      <c r="H6" s="6" t="n">
        <v>0</v>
      </c>
      <c r="I6" s="6" t="n">
        <f aca="false">SUM(B6:H6)</f>
        <v>18768</v>
      </c>
    </row>
    <row r="7" customFormat="false" ht="15" hidden="false" customHeight="true" outlineLevel="0" collapsed="false">
      <c r="A7" s="7" t="s">
        <v>181</v>
      </c>
      <c r="B7" s="8" t="n">
        <f aca="false">SUM(B4:B6)</f>
        <v>37000</v>
      </c>
      <c r="C7" s="8" t="n">
        <f aca="false">SUM(C4:C6)</f>
        <v>50000</v>
      </c>
      <c r="D7" s="8" t="n">
        <f aca="false">SUM(D4:D6)</f>
        <v>0</v>
      </c>
      <c r="E7" s="8" t="n">
        <f aca="false">SUM(E4:E6)</f>
        <v>0</v>
      </c>
      <c r="F7" s="8" t="n">
        <f aca="false">SUM(F4:F6)</f>
        <v>0</v>
      </c>
      <c r="G7" s="8" t="n">
        <f aca="false">SUM(G4:G6)</f>
        <v>18768</v>
      </c>
      <c r="H7" s="8" t="n">
        <f aca="false">SUM(H4:H6)</f>
        <v>0</v>
      </c>
      <c r="I7" s="8" t="n">
        <f aca="false">SUM(I4:I6)</f>
        <v>105768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182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166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2729</v>
      </c>
      <c r="I4" s="6" t="n">
        <f aca="false">SUM(B4:H4)</f>
        <v>2729</v>
      </c>
    </row>
    <row r="5" customFormat="false" ht="15" hidden="false" customHeight="true" outlineLevel="0" collapsed="false">
      <c r="A5" s="5" t="s">
        <v>167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f aca="false">SUM(B5:H5)</f>
        <v>0</v>
      </c>
    </row>
    <row r="6" customFormat="false" ht="15" hidden="false" customHeight="true" outlineLevel="0" collapsed="false">
      <c r="A6" s="5" t="s">
        <v>168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f aca="false">SUM(B6:H6)</f>
        <v>0</v>
      </c>
    </row>
    <row r="7" customFormat="false" ht="15" hidden="false" customHeight="true" outlineLevel="0" collapsed="false">
      <c r="A7" s="7" t="s">
        <v>183</v>
      </c>
      <c r="B7" s="8" t="n">
        <f aca="false">SUM(B4:B6)</f>
        <v>0</v>
      </c>
      <c r="C7" s="8" t="n">
        <f aca="false">SUM(C4:C6)</f>
        <v>0</v>
      </c>
      <c r="D7" s="8" t="n">
        <f aca="false">SUM(D4:D6)</f>
        <v>0</v>
      </c>
      <c r="E7" s="8" t="n">
        <f aca="false">SUM(E4:E6)</f>
        <v>0</v>
      </c>
      <c r="F7" s="8" t="n">
        <f aca="false">SUM(F4:F6)</f>
        <v>0</v>
      </c>
      <c r="G7" s="8" t="n">
        <f aca="false">SUM(G4:G6)</f>
        <v>0</v>
      </c>
      <c r="H7" s="8" t="n">
        <f aca="false">SUM(H4:H6)</f>
        <v>2729</v>
      </c>
      <c r="I7" s="8" t="n">
        <f aca="false">SUM(I4:I6)</f>
        <v>2729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184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63</v>
      </c>
      <c r="B4" s="6" t="n">
        <v>40000</v>
      </c>
      <c r="C4" s="6" t="n">
        <v>20000</v>
      </c>
      <c r="D4" s="6" t="n">
        <v>196991.2</v>
      </c>
      <c r="E4" s="6" t="n">
        <v>147743.4</v>
      </c>
      <c r="F4" s="6" t="n">
        <v>0</v>
      </c>
      <c r="G4" s="6" t="n">
        <v>0</v>
      </c>
      <c r="H4" s="6" t="n">
        <v>49247.8</v>
      </c>
      <c r="I4" s="6" t="n">
        <f aca="false">SUM(B4:H4)</f>
        <v>453982.4</v>
      </c>
    </row>
    <row r="5" customFormat="false" ht="15" hidden="false" customHeight="true" outlineLevel="0" collapsed="false">
      <c r="A5" s="5" t="s">
        <v>42</v>
      </c>
      <c r="B5" s="6" t="n">
        <v>50136</v>
      </c>
      <c r="C5" s="6" t="n">
        <v>100000</v>
      </c>
      <c r="D5" s="6" t="n">
        <v>20000</v>
      </c>
      <c r="E5" s="6" t="n">
        <v>79105</v>
      </c>
      <c r="F5" s="6" t="n">
        <v>80000</v>
      </c>
      <c r="G5" s="6" t="n">
        <v>70000</v>
      </c>
      <c r="H5" s="6" t="n">
        <v>40000</v>
      </c>
      <c r="I5" s="6" t="n">
        <f aca="false">SUM(B5:H5)</f>
        <v>439241</v>
      </c>
    </row>
    <row r="6" customFormat="false" ht="15" hidden="false" customHeight="true" outlineLevel="0" collapsed="false">
      <c r="A6" s="5" t="s">
        <v>40</v>
      </c>
      <c r="B6" s="6" t="n">
        <v>0</v>
      </c>
      <c r="C6" s="6" t="n">
        <v>0</v>
      </c>
      <c r="D6" s="6" t="n">
        <v>22000</v>
      </c>
      <c r="E6" s="6" t="n">
        <v>122500</v>
      </c>
      <c r="F6" s="6" t="n">
        <v>170000</v>
      </c>
      <c r="G6" s="6" t="n">
        <v>0</v>
      </c>
      <c r="H6" s="6" t="n">
        <v>0</v>
      </c>
      <c r="I6" s="6" t="n">
        <f aca="false">SUM(B6:H6)</f>
        <v>314500</v>
      </c>
    </row>
    <row r="7" customFormat="false" ht="15" hidden="false" customHeight="true" outlineLevel="0" collapsed="false">
      <c r="A7" s="5" t="s">
        <v>46</v>
      </c>
      <c r="B7" s="6" t="n">
        <v>25800</v>
      </c>
      <c r="C7" s="6" t="n">
        <v>45600</v>
      </c>
      <c r="D7" s="6" t="n">
        <v>123388.28</v>
      </c>
      <c r="E7" s="6" t="n">
        <v>28500</v>
      </c>
      <c r="F7" s="6" t="n">
        <v>57000</v>
      </c>
      <c r="G7" s="6" t="n">
        <v>0</v>
      </c>
      <c r="H7" s="6" t="n">
        <v>0</v>
      </c>
      <c r="I7" s="6" t="n">
        <f aca="false">SUM(B7:H7)</f>
        <v>280288.28</v>
      </c>
    </row>
    <row r="8" customFormat="false" ht="15" hidden="false" customHeight="true" outlineLevel="0" collapsed="false">
      <c r="A8" s="5" t="s">
        <v>62</v>
      </c>
      <c r="B8" s="6" t="n">
        <v>40600</v>
      </c>
      <c r="C8" s="6" t="n">
        <v>217291.2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f aca="false">SUM(B8:H8)</f>
        <v>257891.2</v>
      </c>
    </row>
    <row r="9" customFormat="false" ht="15" hidden="false" customHeight="true" outlineLevel="0" collapsed="false">
      <c r="A9" s="5" t="s">
        <v>45</v>
      </c>
      <c r="B9" s="6" t="n">
        <v>20000</v>
      </c>
      <c r="C9" s="6" t="n">
        <v>15000</v>
      </c>
      <c r="D9" s="6" t="n">
        <v>30000</v>
      </c>
      <c r="E9" s="6" t="n">
        <v>39999.8</v>
      </c>
      <c r="F9" s="6" t="n">
        <v>40000</v>
      </c>
      <c r="G9" s="6" t="n">
        <v>20000</v>
      </c>
      <c r="H9" s="6" t="n">
        <v>30000</v>
      </c>
      <c r="I9" s="6" t="n">
        <f aca="false">SUM(B9:H9)</f>
        <v>194999.8</v>
      </c>
    </row>
    <row r="10" customFormat="false" ht="15" hidden="false" customHeight="true" outlineLevel="0" collapsed="false">
      <c r="A10" s="5" t="s">
        <v>43</v>
      </c>
      <c r="B10" s="6" t="n">
        <v>50000</v>
      </c>
      <c r="C10" s="6" t="n">
        <v>50000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f aca="false">SUM(B10:H10)</f>
        <v>100000</v>
      </c>
    </row>
    <row r="11" customFormat="false" ht="15" hidden="false" customHeight="true" outlineLevel="0" collapsed="false">
      <c r="A11" s="5" t="s">
        <v>60</v>
      </c>
      <c r="B11" s="6" t="n">
        <v>0</v>
      </c>
      <c r="C11" s="6" t="n">
        <v>25000</v>
      </c>
      <c r="D11" s="6" t="n">
        <v>8526</v>
      </c>
      <c r="E11" s="6" t="n">
        <v>25578</v>
      </c>
      <c r="F11" s="6" t="n">
        <v>0</v>
      </c>
      <c r="G11" s="6" t="n">
        <v>6970</v>
      </c>
      <c r="H11" s="6" t="n">
        <v>0</v>
      </c>
      <c r="I11" s="6" t="n">
        <f aca="false">SUM(B11:H11)</f>
        <v>66074</v>
      </c>
    </row>
    <row r="12" customFormat="false" ht="15" hidden="false" customHeight="true" outlineLevel="0" collapsed="false">
      <c r="A12" s="5" t="s">
        <v>41</v>
      </c>
      <c r="B12" s="6" t="n">
        <v>0</v>
      </c>
      <c r="C12" s="6" t="n">
        <v>0</v>
      </c>
      <c r="D12" s="6" t="n">
        <v>17450</v>
      </c>
      <c r="E12" s="6" t="n">
        <v>20000</v>
      </c>
      <c r="F12" s="6" t="n">
        <v>8950</v>
      </c>
      <c r="G12" s="6" t="n">
        <v>0</v>
      </c>
      <c r="H12" s="6" t="n">
        <v>0</v>
      </c>
      <c r="I12" s="6" t="n">
        <f aca="false">SUM(B12:H12)</f>
        <v>46400</v>
      </c>
    </row>
    <row r="13" customFormat="false" ht="15" hidden="false" customHeight="true" outlineLevel="0" collapsed="false">
      <c r="A13" s="5" t="s">
        <v>47</v>
      </c>
      <c r="B13" s="6" t="n">
        <v>0</v>
      </c>
      <c r="C13" s="6" t="n">
        <v>45692.5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f aca="false">SUM(B13:H13)</f>
        <v>45692.5</v>
      </c>
    </row>
    <row r="14" customFormat="false" ht="15" hidden="false" customHeight="true" outlineLevel="0" collapsed="false">
      <c r="A14" s="5" t="s">
        <v>61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20000</v>
      </c>
      <c r="I14" s="6" t="n">
        <f aca="false">SUM(B14:H14)</f>
        <v>20000</v>
      </c>
    </row>
    <row r="15" customFormat="false" ht="15" hidden="false" customHeight="true" outlineLevel="0" collapsed="false">
      <c r="A15" s="5" t="s">
        <v>58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7590.02</v>
      </c>
      <c r="H15" s="6" t="n">
        <v>6050</v>
      </c>
      <c r="I15" s="6" t="n">
        <f aca="false">SUM(B15:H15)</f>
        <v>13640.02</v>
      </c>
    </row>
    <row r="16" customFormat="false" ht="15" hidden="false" customHeight="true" outlineLevel="0" collapsed="false">
      <c r="A16" s="5" t="s">
        <v>56</v>
      </c>
      <c r="B16" s="6" t="n">
        <v>12006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f aca="false">SUM(B16:H16)</f>
        <v>12006</v>
      </c>
    </row>
    <row r="17" customFormat="false" ht="15" hidden="false" customHeight="true" outlineLevel="0" collapsed="false">
      <c r="A17" s="5" t="s">
        <v>49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10800</v>
      </c>
      <c r="G17" s="6" t="n">
        <v>0</v>
      </c>
      <c r="H17" s="6" t="n">
        <v>0</v>
      </c>
      <c r="I17" s="6" t="n">
        <f aca="false">SUM(B17:H17)</f>
        <v>10800</v>
      </c>
    </row>
    <row r="18" customFormat="false" ht="15" hidden="false" customHeight="true" outlineLevel="0" collapsed="false">
      <c r="A18" s="5" t="s">
        <v>64</v>
      </c>
      <c r="B18" s="6" t="n">
        <v>0</v>
      </c>
      <c r="C18" s="6" t="n">
        <v>0</v>
      </c>
      <c r="D18" s="6" t="n">
        <v>9570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f aca="false">SUM(B18:H18)</f>
        <v>9570</v>
      </c>
    </row>
    <row r="19" customFormat="false" ht="15" hidden="false" customHeight="true" outlineLevel="0" collapsed="false">
      <c r="A19" s="5" t="s">
        <v>51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f aca="false">SUM(B19:H19)</f>
        <v>0</v>
      </c>
    </row>
    <row r="20" customFormat="false" ht="15" hidden="false" customHeight="true" outlineLevel="0" collapsed="false">
      <c r="A20" s="5" t="s">
        <v>59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f aca="false">SUM(B20:H20)</f>
        <v>0</v>
      </c>
    </row>
    <row r="21" customFormat="false" ht="15" hidden="false" customHeight="true" outlineLevel="0" collapsed="false">
      <c r="A21" s="5" t="s">
        <v>57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f aca="false">SUM(B21:H21)</f>
        <v>0</v>
      </c>
    </row>
    <row r="22" customFormat="false" ht="15" hidden="false" customHeight="true" outlineLevel="0" collapsed="false">
      <c r="A22" s="5" t="s">
        <v>53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f aca="false">SUM(B22:H22)</f>
        <v>0</v>
      </c>
    </row>
    <row r="23" customFormat="false" ht="15" hidden="false" customHeight="true" outlineLevel="0" collapsed="false">
      <c r="A23" s="5" t="s">
        <v>54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f aca="false">SUM(B23:H23)</f>
        <v>0</v>
      </c>
    </row>
    <row r="24" customFormat="false" ht="15" hidden="false" customHeight="true" outlineLevel="0" collapsed="false">
      <c r="A24" s="5" t="s">
        <v>50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f aca="false">SUM(B24:H24)</f>
        <v>0</v>
      </c>
    </row>
    <row r="25" customFormat="false" ht="15" hidden="false" customHeight="true" outlineLevel="0" collapsed="false">
      <c r="A25" s="5" t="s">
        <v>55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f aca="false">SUM(B25:H25)</f>
        <v>0</v>
      </c>
    </row>
    <row r="26" customFormat="false" ht="15" hidden="false" customHeight="true" outlineLevel="0" collapsed="false">
      <c r="A26" s="5" t="s">
        <v>44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f aca="false">SUM(B26:H26)</f>
        <v>0</v>
      </c>
    </row>
    <row r="27" customFormat="false" ht="15" hidden="false" customHeight="true" outlineLevel="0" collapsed="false">
      <c r="A27" s="5" t="s">
        <v>48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f aca="false">SUM(B27:H27)</f>
        <v>0</v>
      </c>
    </row>
    <row r="28" customFormat="false" ht="15" hidden="false" customHeight="true" outlineLevel="0" collapsed="false">
      <c r="A28" s="5" t="s">
        <v>52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f aca="false">SUM(B28:H28)</f>
        <v>0</v>
      </c>
    </row>
    <row r="29" customFormat="false" ht="15" hidden="false" customHeight="true" outlineLevel="0" collapsed="false">
      <c r="A29" s="7" t="s">
        <v>185</v>
      </c>
      <c r="B29" s="8" t="n">
        <f aca="false">SUM(B4:B28)</f>
        <v>238542</v>
      </c>
      <c r="C29" s="8" t="n">
        <f aca="false">SUM(C4:C28)</f>
        <v>518583.7</v>
      </c>
      <c r="D29" s="8" t="n">
        <f aca="false">SUM(D4:D28)</f>
        <v>427925.48</v>
      </c>
      <c r="E29" s="8" t="n">
        <f aca="false">SUM(E4:E28)</f>
        <v>463426.2</v>
      </c>
      <c r="F29" s="8" t="n">
        <f aca="false">SUM(F4:F28)</f>
        <v>366750</v>
      </c>
      <c r="G29" s="8" t="n">
        <f aca="false">SUM(G4:G28)</f>
        <v>104560.02</v>
      </c>
      <c r="H29" s="8" t="n">
        <f aca="false">SUM(H4:H28)</f>
        <v>145297.8</v>
      </c>
      <c r="I29" s="8" t="n">
        <f aca="false">SUM(I4:I28)</f>
        <v>2265085.2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186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69</v>
      </c>
      <c r="B4" s="6" t="n">
        <v>0</v>
      </c>
      <c r="C4" s="6" t="n">
        <v>0</v>
      </c>
      <c r="D4" s="6" t="n">
        <v>0</v>
      </c>
      <c r="E4" s="6" t="n">
        <v>93280</v>
      </c>
      <c r="F4" s="6" t="n">
        <v>241881.94</v>
      </c>
      <c r="G4" s="6" t="n">
        <v>61642.4</v>
      </c>
      <c r="H4" s="6" t="n">
        <v>0</v>
      </c>
      <c r="I4" s="6" t="n">
        <f aca="false">SUM(B4:H4)</f>
        <v>396804.34</v>
      </c>
    </row>
    <row r="5" customFormat="false" ht="15" hidden="false" customHeight="true" outlineLevel="0" collapsed="false">
      <c r="A5" s="5" t="s">
        <v>93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64960</v>
      </c>
      <c r="H5" s="6" t="n">
        <v>129920</v>
      </c>
      <c r="I5" s="6" t="n">
        <f aca="false">SUM(B5:H5)</f>
        <v>194880</v>
      </c>
    </row>
    <row r="6" customFormat="false" ht="15" hidden="false" customHeight="true" outlineLevel="0" collapsed="false">
      <c r="A6" s="5" t="s">
        <v>72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15370</v>
      </c>
      <c r="G6" s="6" t="n">
        <v>61480</v>
      </c>
      <c r="H6" s="6" t="n">
        <v>76850</v>
      </c>
      <c r="I6" s="6" t="n">
        <f aca="false">SUM(B6:H6)</f>
        <v>153700</v>
      </c>
    </row>
    <row r="7" customFormat="false" ht="15" hidden="false" customHeight="true" outlineLevel="0" collapsed="false">
      <c r="A7" s="5" t="s">
        <v>74</v>
      </c>
      <c r="B7" s="6" t="n">
        <v>0</v>
      </c>
      <c r="C7" s="6" t="n">
        <v>24000</v>
      </c>
      <c r="D7" s="6" t="n">
        <v>35178</v>
      </c>
      <c r="E7" s="6" t="n">
        <v>70356</v>
      </c>
      <c r="F7" s="6" t="n">
        <v>0</v>
      </c>
      <c r="G7" s="6" t="n">
        <v>0</v>
      </c>
      <c r="H7" s="6" t="n">
        <v>0</v>
      </c>
      <c r="I7" s="6" t="n">
        <f aca="false">SUM(B7:H7)</f>
        <v>129534</v>
      </c>
    </row>
    <row r="8" customFormat="false" ht="15" hidden="false" customHeight="true" outlineLevel="0" collapsed="false">
      <c r="A8" s="5" t="s">
        <v>73</v>
      </c>
      <c r="B8" s="6" t="n">
        <v>0</v>
      </c>
      <c r="C8" s="6" t="n">
        <v>0</v>
      </c>
      <c r="D8" s="6" t="n">
        <v>8700</v>
      </c>
      <c r="E8" s="6" t="n">
        <v>5800</v>
      </c>
      <c r="F8" s="6" t="n">
        <v>36250</v>
      </c>
      <c r="G8" s="6" t="n">
        <v>14500</v>
      </c>
      <c r="H8" s="6" t="n">
        <v>0</v>
      </c>
      <c r="I8" s="6" t="n">
        <f aca="false">SUM(B8:H8)</f>
        <v>65250</v>
      </c>
    </row>
    <row r="9" customFormat="false" ht="15" hidden="false" customHeight="true" outlineLevel="0" collapsed="false">
      <c r="A9" s="5" t="s">
        <v>71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61642.4</v>
      </c>
      <c r="H9" s="6" t="n">
        <v>0</v>
      </c>
      <c r="I9" s="6" t="n">
        <f aca="false">SUM(B9:H9)</f>
        <v>61642.4</v>
      </c>
    </row>
    <row r="10" customFormat="false" ht="15" hidden="false" customHeight="true" outlineLevel="0" collapsed="false">
      <c r="A10" s="5" t="s">
        <v>81</v>
      </c>
      <c r="B10" s="6" t="n">
        <v>16240</v>
      </c>
      <c r="C10" s="6" t="n">
        <v>0</v>
      </c>
      <c r="D10" s="6" t="n">
        <v>31900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f aca="false">SUM(B10:H10)</f>
        <v>48140</v>
      </c>
    </row>
    <row r="11" customFormat="false" ht="15" hidden="false" customHeight="true" outlineLevel="0" collapsed="false">
      <c r="A11" s="5" t="s">
        <v>68</v>
      </c>
      <c r="B11" s="6" t="n">
        <v>0</v>
      </c>
      <c r="C11" s="6" t="n">
        <v>0</v>
      </c>
      <c r="D11" s="6" t="n">
        <v>0</v>
      </c>
      <c r="E11" s="6" t="n">
        <v>9802</v>
      </c>
      <c r="F11" s="6" t="n">
        <v>15549.8</v>
      </c>
      <c r="G11" s="6" t="n">
        <v>9135</v>
      </c>
      <c r="H11" s="6" t="n">
        <v>0</v>
      </c>
      <c r="I11" s="6" t="n">
        <f aca="false">SUM(B11:H11)</f>
        <v>34486.8</v>
      </c>
    </row>
    <row r="12" customFormat="false" ht="15" hidden="false" customHeight="true" outlineLevel="0" collapsed="false">
      <c r="A12" s="5" t="s">
        <v>96</v>
      </c>
      <c r="B12" s="6" t="n">
        <v>32480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f aca="false">SUM(B12:H12)</f>
        <v>32480</v>
      </c>
    </row>
    <row r="13" customFormat="false" ht="15" hidden="false" customHeight="true" outlineLevel="0" collapsed="false">
      <c r="A13" s="5" t="s">
        <v>78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7940.42</v>
      </c>
      <c r="H13" s="6" t="n">
        <v>24389.07</v>
      </c>
      <c r="I13" s="6" t="n">
        <f aca="false">SUM(B13:H13)</f>
        <v>32329.49</v>
      </c>
    </row>
    <row r="14" customFormat="false" ht="15" hidden="false" customHeight="true" outlineLevel="0" collapsed="false">
      <c r="A14" s="5" t="s">
        <v>82</v>
      </c>
      <c r="B14" s="6" t="n">
        <v>0</v>
      </c>
      <c r="C14" s="6" t="n">
        <v>30050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f aca="false">SUM(B14:H14)</f>
        <v>30050</v>
      </c>
    </row>
    <row r="15" customFormat="false" ht="15" hidden="false" customHeight="true" outlineLevel="0" collapsed="false">
      <c r="A15" s="5" t="s">
        <v>77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23896</v>
      </c>
      <c r="G15" s="6" t="n">
        <v>0</v>
      </c>
      <c r="H15" s="6" t="n">
        <v>0</v>
      </c>
      <c r="I15" s="6" t="n">
        <f aca="false">SUM(B15:H15)</f>
        <v>23896</v>
      </c>
    </row>
    <row r="16" customFormat="false" ht="15" hidden="false" customHeight="true" outlineLevel="0" collapsed="false">
      <c r="A16" s="5" t="s">
        <v>70</v>
      </c>
      <c r="B16" s="6" t="n">
        <v>0</v>
      </c>
      <c r="C16" s="6" t="n">
        <v>0</v>
      </c>
      <c r="D16" s="6" t="n">
        <v>23144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f aca="false">SUM(B16:H16)</f>
        <v>23144</v>
      </c>
    </row>
    <row r="17" customFormat="false" ht="15" hidden="false" customHeight="true" outlineLevel="0" collapsed="false">
      <c r="A17" s="5" t="s">
        <v>94</v>
      </c>
      <c r="B17" s="6" t="n">
        <v>0</v>
      </c>
      <c r="C17" s="6" t="n">
        <v>0</v>
      </c>
      <c r="D17" s="6" t="n">
        <v>20000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f aca="false">SUM(B17:H17)</f>
        <v>20000</v>
      </c>
    </row>
    <row r="18" customFormat="false" ht="15" hidden="false" customHeight="true" outlineLevel="0" collapsed="false">
      <c r="A18" s="5" t="s">
        <v>95</v>
      </c>
      <c r="B18" s="6" t="n">
        <v>0</v>
      </c>
      <c r="C18" s="6" t="n">
        <v>0</v>
      </c>
      <c r="D18" s="6" t="n">
        <v>15000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f aca="false">SUM(B18:H18)</f>
        <v>15000</v>
      </c>
    </row>
    <row r="19" customFormat="false" ht="15" hidden="false" customHeight="true" outlineLevel="0" collapsed="false">
      <c r="A19" s="5" t="s">
        <v>92</v>
      </c>
      <c r="B19" s="6" t="n">
        <v>0</v>
      </c>
      <c r="C19" s="6" t="n">
        <v>0</v>
      </c>
      <c r="D19" s="6" t="n">
        <v>8460.6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f aca="false">SUM(B19:H19)</f>
        <v>8460.6</v>
      </c>
    </row>
    <row r="20" customFormat="false" ht="15" hidden="false" customHeight="true" outlineLevel="0" collapsed="false">
      <c r="A20" s="5" t="s">
        <v>85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7193.3</v>
      </c>
      <c r="I20" s="6" t="n">
        <f aca="false">SUM(B20:H20)</f>
        <v>7193.3</v>
      </c>
    </row>
    <row r="21" customFormat="false" ht="15" hidden="false" customHeight="true" outlineLevel="0" collapsed="false">
      <c r="A21" s="5" t="s">
        <v>76</v>
      </c>
      <c r="B21" s="6" t="n">
        <v>0</v>
      </c>
      <c r="C21" s="6" t="n">
        <v>0</v>
      </c>
      <c r="D21" s="6" t="n">
        <v>2987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f aca="false">SUM(B21:H21)</f>
        <v>2987</v>
      </c>
    </row>
    <row r="22" customFormat="false" ht="15" hidden="false" customHeight="true" outlineLevel="0" collapsed="false">
      <c r="A22" s="5" t="s">
        <v>88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2868</v>
      </c>
      <c r="G22" s="6" t="n">
        <v>0</v>
      </c>
      <c r="H22" s="6" t="n">
        <v>0</v>
      </c>
      <c r="I22" s="6" t="n">
        <f aca="false">SUM(B22:H22)</f>
        <v>2868</v>
      </c>
    </row>
    <row r="23" customFormat="false" ht="15" hidden="false" customHeight="true" outlineLevel="0" collapsed="false">
      <c r="A23" s="5" t="s">
        <v>86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f aca="false">SUM(B23:H23)</f>
        <v>0</v>
      </c>
    </row>
    <row r="24" customFormat="false" ht="15" hidden="false" customHeight="true" outlineLevel="0" collapsed="false">
      <c r="A24" s="5" t="s">
        <v>90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f aca="false">SUM(B24:H24)</f>
        <v>0</v>
      </c>
    </row>
    <row r="25" customFormat="false" ht="15" hidden="false" customHeight="true" outlineLevel="0" collapsed="false">
      <c r="A25" s="5" t="s">
        <v>75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f aca="false">SUM(B25:H25)</f>
        <v>0</v>
      </c>
    </row>
    <row r="26" customFormat="false" ht="15" hidden="false" customHeight="true" outlineLevel="0" collapsed="false">
      <c r="A26" s="5" t="s">
        <v>80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f aca="false">SUM(B26:H26)</f>
        <v>0</v>
      </c>
    </row>
    <row r="27" customFormat="false" ht="15" hidden="false" customHeight="true" outlineLevel="0" collapsed="false">
      <c r="A27" s="5" t="s">
        <v>84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f aca="false">SUM(B27:H27)</f>
        <v>0</v>
      </c>
    </row>
    <row r="28" customFormat="false" ht="15" hidden="false" customHeight="true" outlineLevel="0" collapsed="false">
      <c r="A28" s="5" t="s">
        <v>83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f aca="false">SUM(B28:H28)</f>
        <v>0</v>
      </c>
    </row>
    <row r="29" customFormat="false" ht="15" hidden="false" customHeight="true" outlineLevel="0" collapsed="false">
      <c r="A29" s="5" t="s">
        <v>89</v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f aca="false">SUM(B29:H29)</f>
        <v>0</v>
      </c>
    </row>
    <row r="30" customFormat="false" ht="15" hidden="false" customHeight="true" outlineLevel="0" collapsed="false">
      <c r="A30" s="5" t="s">
        <v>79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f aca="false">SUM(B30:H30)</f>
        <v>0</v>
      </c>
    </row>
    <row r="31" customFormat="false" ht="15" hidden="false" customHeight="true" outlineLevel="0" collapsed="false">
      <c r="A31" s="5" t="s">
        <v>87</v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f aca="false">SUM(B31:H31)</f>
        <v>0</v>
      </c>
    </row>
    <row r="32" customFormat="false" ht="15" hidden="false" customHeight="true" outlineLevel="0" collapsed="false">
      <c r="A32" s="5" t="s">
        <v>91</v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f aca="false">SUM(B32:H32)</f>
        <v>0</v>
      </c>
    </row>
    <row r="33" customFormat="false" ht="15" hidden="false" customHeight="true" outlineLevel="0" collapsed="false">
      <c r="A33" s="5" t="s">
        <v>67</v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f aca="false">SUM(B33:H33)</f>
        <v>0</v>
      </c>
    </row>
    <row r="34" customFormat="false" ht="15" hidden="false" customHeight="true" outlineLevel="0" collapsed="false">
      <c r="A34" s="7" t="s">
        <v>187</v>
      </c>
      <c r="B34" s="8" t="n">
        <f aca="false">SUM(B4:B33)</f>
        <v>48720</v>
      </c>
      <c r="C34" s="8" t="n">
        <f aca="false">SUM(C4:C33)</f>
        <v>54050</v>
      </c>
      <c r="D34" s="8" t="n">
        <f aca="false">SUM(D4:D33)</f>
        <v>145369.6</v>
      </c>
      <c r="E34" s="8" t="n">
        <f aca="false">SUM(E4:E33)</f>
        <v>179238</v>
      </c>
      <c r="F34" s="8" t="n">
        <f aca="false">SUM(F4:F33)</f>
        <v>335815.74</v>
      </c>
      <c r="G34" s="8" t="n">
        <f aca="false">SUM(G4:G33)</f>
        <v>281300.22</v>
      </c>
      <c r="H34" s="8" t="n">
        <f aca="false">SUM(H4:H33)</f>
        <v>238352.37</v>
      </c>
      <c r="I34" s="8" t="n">
        <f aca="false">SUM(I4:I33)</f>
        <v>1282845.93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188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125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253216.55</v>
      </c>
      <c r="I4" s="6" t="n">
        <f aca="false">SUM(B4:H4)</f>
        <v>253216.55</v>
      </c>
    </row>
    <row r="5" customFormat="false" ht="15" hidden="false" customHeight="true" outlineLevel="0" collapsed="false">
      <c r="A5" s="5" t="s">
        <v>103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50000</v>
      </c>
      <c r="G5" s="6" t="n">
        <v>50000</v>
      </c>
      <c r="H5" s="6" t="n">
        <v>0</v>
      </c>
      <c r="I5" s="6" t="n">
        <f aca="false">SUM(B5:H5)</f>
        <v>100000</v>
      </c>
    </row>
    <row r="6" customFormat="false" ht="15" hidden="false" customHeight="true" outlineLevel="0" collapsed="false">
      <c r="A6" s="5" t="s">
        <v>99</v>
      </c>
      <c r="B6" s="6" t="n">
        <v>0</v>
      </c>
      <c r="C6" s="6" t="n">
        <v>85000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f aca="false">SUM(B6:H6)</f>
        <v>85000</v>
      </c>
    </row>
    <row r="7" customFormat="false" ht="15" hidden="false" customHeight="true" outlineLevel="0" collapsed="false">
      <c r="A7" s="5" t="s">
        <v>124</v>
      </c>
      <c r="B7" s="6" t="n">
        <v>20000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f aca="false">SUM(B7:H7)</f>
        <v>20000</v>
      </c>
    </row>
    <row r="8" customFormat="false" ht="15" hidden="false" customHeight="true" outlineLevel="0" collapsed="false">
      <c r="A8" s="5" t="s">
        <v>102</v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20000</v>
      </c>
      <c r="G8" s="6" t="n">
        <v>0</v>
      </c>
      <c r="H8" s="6" t="n">
        <v>0</v>
      </c>
      <c r="I8" s="6" t="n">
        <f aca="false">SUM(B8:H8)</f>
        <v>20000</v>
      </c>
    </row>
    <row r="9" customFormat="false" ht="15" hidden="false" customHeight="true" outlineLevel="0" collapsed="false">
      <c r="A9" s="5" t="s">
        <v>105</v>
      </c>
      <c r="B9" s="6" t="n">
        <v>0</v>
      </c>
      <c r="C9" s="6" t="n">
        <v>0</v>
      </c>
      <c r="D9" s="6" t="n">
        <v>0</v>
      </c>
      <c r="E9" s="6" t="n">
        <v>15000</v>
      </c>
      <c r="F9" s="6" t="n">
        <v>0</v>
      </c>
      <c r="G9" s="6" t="n">
        <v>0</v>
      </c>
      <c r="H9" s="6" t="n">
        <v>0</v>
      </c>
      <c r="I9" s="6" t="n">
        <f aca="false">SUM(B9:H9)</f>
        <v>15000</v>
      </c>
    </row>
    <row r="10" customFormat="false" ht="15" hidden="false" customHeight="true" outlineLevel="0" collapsed="false">
      <c r="A10" s="5" t="s">
        <v>128</v>
      </c>
      <c r="B10" s="6" t="n">
        <v>0</v>
      </c>
      <c r="C10" s="6" t="n">
        <v>12000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f aca="false">SUM(B10:H10)</f>
        <v>12000</v>
      </c>
    </row>
    <row r="11" customFormat="false" ht="15" hidden="false" customHeight="true" outlineLevel="0" collapsed="false">
      <c r="A11" s="5" t="s">
        <v>129</v>
      </c>
      <c r="B11" s="6" t="n">
        <v>0</v>
      </c>
      <c r="C11" s="6" t="n">
        <v>0</v>
      </c>
      <c r="D11" s="6" t="n">
        <v>10000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f aca="false">SUM(B11:H11)</f>
        <v>10000</v>
      </c>
    </row>
    <row r="12" customFormat="false" ht="15" hidden="false" customHeight="true" outlineLevel="0" collapsed="false">
      <c r="A12" s="5" t="s">
        <v>115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1186.36</v>
      </c>
      <c r="H12" s="6" t="n">
        <v>6099</v>
      </c>
      <c r="I12" s="6" t="n">
        <f aca="false">SUM(B12:H12)</f>
        <v>7285.36</v>
      </c>
    </row>
    <row r="13" customFormat="false" ht="15" hidden="false" customHeight="true" outlineLevel="0" collapsed="false">
      <c r="A13" s="5" t="s">
        <v>111</v>
      </c>
      <c r="B13" s="6" t="n">
        <v>0</v>
      </c>
      <c r="C13" s="6" t="n">
        <v>0</v>
      </c>
      <c r="D13" s="6" t="n">
        <v>0</v>
      </c>
      <c r="E13" s="6" t="n">
        <v>6500</v>
      </c>
      <c r="F13" s="6" t="n">
        <v>0</v>
      </c>
      <c r="G13" s="6" t="n">
        <v>0</v>
      </c>
      <c r="H13" s="6" t="n">
        <v>0</v>
      </c>
      <c r="I13" s="6" t="n">
        <f aca="false">SUM(B13:H13)</f>
        <v>6500</v>
      </c>
    </row>
    <row r="14" customFormat="false" ht="15" hidden="false" customHeight="true" outlineLevel="0" collapsed="false">
      <c r="A14" s="5" t="s">
        <v>127</v>
      </c>
      <c r="B14" s="6" t="n">
        <v>0</v>
      </c>
      <c r="C14" s="6" t="n">
        <v>0</v>
      </c>
      <c r="D14" s="6" t="n">
        <v>0</v>
      </c>
      <c r="E14" s="6" t="n">
        <v>2028.84</v>
      </c>
      <c r="F14" s="6" t="n">
        <v>0</v>
      </c>
      <c r="G14" s="6" t="n">
        <v>0</v>
      </c>
      <c r="H14" s="6" t="n">
        <v>0</v>
      </c>
      <c r="I14" s="6" t="n">
        <f aca="false">SUM(B14:H14)</f>
        <v>2028.84</v>
      </c>
    </row>
    <row r="15" customFormat="false" ht="15" hidden="false" customHeight="true" outlineLevel="0" collapsed="false">
      <c r="A15" s="5" t="s">
        <v>126</v>
      </c>
      <c r="B15" s="6" t="n">
        <v>0</v>
      </c>
      <c r="C15" s="6" t="n">
        <v>0</v>
      </c>
      <c r="D15" s="6" t="n">
        <v>593.5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f aca="false">SUM(B15:H15)</f>
        <v>593.5</v>
      </c>
    </row>
    <row r="16" customFormat="false" ht="15" hidden="false" customHeight="true" outlineLevel="0" collapsed="false">
      <c r="A16" s="5" t="s">
        <v>123</v>
      </c>
      <c r="B16" s="6" t="n">
        <v>0</v>
      </c>
      <c r="C16" s="6" t="n">
        <v>0</v>
      </c>
      <c r="D16" s="6" t="n">
        <v>246.44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f aca="false">SUM(B16:H16)</f>
        <v>246.44</v>
      </c>
    </row>
    <row r="17" customFormat="false" ht="15" hidden="false" customHeight="true" outlineLevel="0" collapsed="false">
      <c r="A17" s="5" t="s">
        <v>101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f aca="false">SUM(B17:H17)</f>
        <v>0</v>
      </c>
    </row>
    <row r="18" customFormat="false" ht="15" hidden="false" customHeight="true" outlineLevel="0" collapsed="false">
      <c r="A18" s="5" t="s">
        <v>100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f aca="false">SUM(B18:H18)</f>
        <v>0</v>
      </c>
    </row>
    <row r="19" customFormat="false" ht="15" hidden="false" customHeight="true" outlineLevel="0" collapsed="false">
      <c r="A19" s="5" t="s">
        <v>107</v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f aca="false">SUM(B19:H19)</f>
        <v>0</v>
      </c>
    </row>
    <row r="20" customFormat="false" ht="15" hidden="false" customHeight="true" outlineLevel="0" collapsed="false">
      <c r="A20" s="5" t="s">
        <v>121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f aca="false">SUM(B20:H20)</f>
        <v>0</v>
      </c>
    </row>
    <row r="21" customFormat="false" ht="15" hidden="false" customHeight="true" outlineLevel="0" collapsed="false">
      <c r="A21" s="5" t="s">
        <v>110</v>
      </c>
      <c r="B21" s="6" t="n">
        <v>0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f aca="false">SUM(B21:H21)</f>
        <v>0</v>
      </c>
    </row>
    <row r="22" customFormat="false" ht="15" hidden="false" customHeight="true" outlineLevel="0" collapsed="false">
      <c r="A22" s="5" t="s">
        <v>106</v>
      </c>
      <c r="B22" s="6" t="n">
        <v>0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f aca="false">SUM(B22:H22)</f>
        <v>0</v>
      </c>
    </row>
    <row r="23" customFormat="false" ht="15" hidden="false" customHeight="true" outlineLevel="0" collapsed="false">
      <c r="A23" s="5" t="s">
        <v>113</v>
      </c>
      <c r="B23" s="6" t="n">
        <v>0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f aca="false">SUM(B23:H23)</f>
        <v>0</v>
      </c>
    </row>
    <row r="24" customFormat="false" ht="15" hidden="false" customHeight="true" outlineLevel="0" collapsed="false">
      <c r="A24" s="5" t="s">
        <v>117</v>
      </c>
      <c r="B24" s="6" t="n">
        <v>0</v>
      </c>
      <c r="C24" s="6" t="n">
        <v>0</v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f aca="false">SUM(B24:H24)</f>
        <v>0</v>
      </c>
    </row>
    <row r="25" customFormat="false" ht="15" hidden="false" customHeight="true" outlineLevel="0" collapsed="false">
      <c r="A25" s="5" t="s">
        <v>118</v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f aca="false">SUM(B25:H25)</f>
        <v>0</v>
      </c>
    </row>
    <row r="26" customFormat="false" ht="15" hidden="false" customHeight="true" outlineLevel="0" collapsed="false">
      <c r="A26" s="5" t="s">
        <v>119</v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f aca="false">SUM(B26:H26)</f>
        <v>0</v>
      </c>
    </row>
    <row r="27" customFormat="false" ht="15" hidden="false" customHeight="true" outlineLevel="0" collapsed="false">
      <c r="A27" s="5" t="s">
        <v>109</v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f aca="false">SUM(B27:H27)</f>
        <v>0</v>
      </c>
    </row>
    <row r="28" customFormat="false" ht="15" hidden="false" customHeight="true" outlineLevel="0" collapsed="false">
      <c r="A28" s="5" t="s">
        <v>116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f aca="false">SUM(B28:H28)</f>
        <v>0</v>
      </c>
    </row>
    <row r="29" customFormat="false" ht="15" hidden="false" customHeight="true" outlineLevel="0" collapsed="false">
      <c r="A29" s="5" t="s">
        <v>112</v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f aca="false">SUM(B29:H29)</f>
        <v>0</v>
      </c>
    </row>
    <row r="30" customFormat="false" ht="15" hidden="false" customHeight="true" outlineLevel="0" collapsed="false">
      <c r="A30" s="5" t="s">
        <v>114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f aca="false">SUM(B30:H30)</f>
        <v>0</v>
      </c>
    </row>
    <row r="31" customFormat="false" ht="15" hidden="false" customHeight="true" outlineLevel="0" collapsed="false">
      <c r="A31" s="5" t="s">
        <v>104</v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f aca="false">SUM(B31:H31)</f>
        <v>0</v>
      </c>
    </row>
    <row r="32" customFormat="false" ht="15" hidden="false" customHeight="true" outlineLevel="0" collapsed="false">
      <c r="A32" s="5" t="s">
        <v>120</v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f aca="false">SUM(B32:H32)</f>
        <v>0</v>
      </c>
    </row>
    <row r="33" customFormat="false" ht="15" hidden="false" customHeight="true" outlineLevel="0" collapsed="false">
      <c r="A33" s="5" t="s">
        <v>108</v>
      </c>
      <c r="B33" s="6" t="n">
        <v>0</v>
      </c>
      <c r="C33" s="6" t="n">
        <v>0</v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f aca="false">SUM(B33:H33)</f>
        <v>0</v>
      </c>
    </row>
    <row r="34" customFormat="false" ht="15" hidden="false" customHeight="true" outlineLevel="0" collapsed="false">
      <c r="A34" s="5" t="s">
        <v>122</v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f aca="false">SUM(B34:H34)</f>
        <v>0</v>
      </c>
    </row>
    <row r="35" customFormat="false" ht="15" hidden="false" customHeight="true" outlineLevel="0" collapsed="false">
      <c r="A35" s="7" t="s">
        <v>189</v>
      </c>
      <c r="B35" s="8" t="n">
        <f aca="false">SUM(B4:B34)</f>
        <v>20000</v>
      </c>
      <c r="C35" s="8" t="n">
        <f aca="false">SUM(C4:C34)</f>
        <v>97000</v>
      </c>
      <c r="D35" s="8" t="n">
        <f aca="false">SUM(D4:D34)</f>
        <v>10839.94</v>
      </c>
      <c r="E35" s="8" t="n">
        <f aca="false">SUM(E4:E34)</f>
        <v>23528.84</v>
      </c>
      <c r="F35" s="8" t="n">
        <f aca="false">SUM(F4:F34)</f>
        <v>70000</v>
      </c>
      <c r="G35" s="8" t="n">
        <f aca="false">SUM(G4:G34)</f>
        <v>51186.36</v>
      </c>
      <c r="H35" s="8" t="n">
        <f aca="false">SUM(H4:H34)</f>
        <v>259315.55</v>
      </c>
      <c r="I35" s="8" t="n">
        <f aca="false">SUM(I4:I34)</f>
        <v>531870.69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190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135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30000</v>
      </c>
      <c r="H4" s="6" t="n">
        <v>15000</v>
      </c>
      <c r="I4" s="6" t="n">
        <f aca="false">SUM(B4:H4)</f>
        <v>45000</v>
      </c>
    </row>
    <row r="5" customFormat="false" ht="15" hidden="false" customHeight="true" outlineLevel="0" collapsed="false">
      <c r="A5" s="5" t="s">
        <v>133</v>
      </c>
      <c r="B5" s="6" t="n">
        <v>9000</v>
      </c>
      <c r="C5" s="6" t="n">
        <v>27000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8952.3</v>
      </c>
      <c r="I5" s="6" t="n">
        <f aca="false">SUM(B5:H5)</f>
        <v>44952.3</v>
      </c>
    </row>
    <row r="6" customFormat="false" ht="15" hidden="false" customHeight="true" outlineLevel="0" collapsed="false">
      <c r="A6" s="5" t="s">
        <v>132</v>
      </c>
      <c r="B6" s="6" t="n">
        <v>0</v>
      </c>
      <c r="C6" s="6" t="n">
        <v>19176.56</v>
      </c>
      <c r="D6" s="6" t="n">
        <v>17802</v>
      </c>
      <c r="E6" s="6" t="n">
        <v>0</v>
      </c>
      <c r="F6" s="6" t="n">
        <v>2940</v>
      </c>
      <c r="G6" s="6" t="n">
        <v>0</v>
      </c>
      <c r="H6" s="6" t="n">
        <v>0</v>
      </c>
      <c r="I6" s="6" t="n">
        <f aca="false">SUM(B6:H6)</f>
        <v>39918.56</v>
      </c>
    </row>
    <row r="7" customFormat="false" ht="15" hidden="false" customHeight="true" outlineLevel="0" collapsed="false">
      <c r="A7" s="5" t="s">
        <v>134</v>
      </c>
      <c r="B7" s="6" t="n">
        <v>3000</v>
      </c>
      <c r="C7" s="6" t="n">
        <v>14136</v>
      </c>
      <c r="D7" s="6" t="n">
        <v>0</v>
      </c>
      <c r="E7" s="6" t="n">
        <v>0</v>
      </c>
      <c r="F7" s="6" t="n">
        <v>0</v>
      </c>
      <c r="G7" s="6" t="n">
        <v>5568</v>
      </c>
      <c r="H7" s="6" t="n">
        <v>7772</v>
      </c>
      <c r="I7" s="6" t="n">
        <f aca="false">SUM(B7:H7)</f>
        <v>30476</v>
      </c>
    </row>
    <row r="8" customFormat="false" ht="15" hidden="false" customHeight="true" outlineLevel="0" collapsed="false">
      <c r="A8" s="5" t="s">
        <v>139</v>
      </c>
      <c r="B8" s="6" t="n">
        <v>0</v>
      </c>
      <c r="C8" s="6" t="n">
        <v>0</v>
      </c>
      <c r="D8" s="6" t="n">
        <v>12396.2</v>
      </c>
      <c r="E8" s="6" t="n">
        <v>0</v>
      </c>
      <c r="F8" s="6" t="n">
        <v>0</v>
      </c>
      <c r="G8" s="6" t="n">
        <v>14250.6</v>
      </c>
      <c r="H8" s="6" t="n">
        <v>0</v>
      </c>
      <c r="I8" s="6" t="n">
        <f aca="false">SUM(B8:H8)</f>
        <v>26646.8</v>
      </c>
    </row>
    <row r="9" customFormat="false" ht="15" hidden="false" customHeight="true" outlineLevel="0" collapsed="false">
      <c r="A9" s="5" t="s">
        <v>146</v>
      </c>
      <c r="B9" s="6" t="n">
        <v>7500</v>
      </c>
      <c r="C9" s="6" t="n">
        <v>12500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f aca="false">SUM(B9:H9)</f>
        <v>20000</v>
      </c>
    </row>
    <row r="10" customFormat="false" ht="15" hidden="false" customHeight="true" outlineLevel="0" collapsed="false">
      <c r="A10" s="5" t="s">
        <v>143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17904.6</v>
      </c>
      <c r="I10" s="6" t="n">
        <f aca="false">SUM(B10:H10)</f>
        <v>17904.6</v>
      </c>
    </row>
    <row r="11" customFormat="false" ht="15" hidden="false" customHeight="true" outlineLevel="0" collapsed="false">
      <c r="A11" s="5" t="s">
        <v>137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6086.26</v>
      </c>
      <c r="I11" s="6" t="n">
        <f aca="false">SUM(B11:H11)</f>
        <v>6086.26</v>
      </c>
    </row>
    <row r="12" customFormat="false" ht="15" hidden="false" customHeight="true" outlineLevel="0" collapsed="false">
      <c r="A12" s="5" t="s">
        <v>145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3886</v>
      </c>
      <c r="I12" s="6" t="n">
        <f aca="false">SUM(B12:H12)</f>
        <v>3886</v>
      </c>
    </row>
    <row r="13" customFormat="false" ht="15" hidden="false" customHeight="true" outlineLevel="0" collapsed="false">
      <c r="A13" s="5" t="s">
        <v>144</v>
      </c>
      <c r="B13" s="6" t="n">
        <v>3000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f aca="false">SUM(B13:H13)</f>
        <v>3000</v>
      </c>
    </row>
    <row r="14" customFormat="false" ht="15" hidden="false" customHeight="true" outlineLevel="0" collapsed="false">
      <c r="A14" s="5" t="s">
        <v>138</v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f aca="false">SUM(B14:H14)</f>
        <v>0</v>
      </c>
    </row>
    <row r="15" customFormat="false" ht="15" hidden="false" customHeight="true" outlineLevel="0" collapsed="false">
      <c r="A15" s="5" t="s">
        <v>142</v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f aca="false">SUM(B15:H15)</f>
        <v>0</v>
      </c>
    </row>
    <row r="16" customFormat="false" ht="15" hidden="false" customHeight="true" outlineLevel="0" collapsed="false">
      <c r="A16" s="5" t="s">
        <v>140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f aca="false">SUM(B16:H16)</f>
        <v>0</v>
      </c>
    </row>
    <row r="17" customFormat="false" ht="15" hidden="false" customHeight="true" outlineLevel="0" collapsed="false">
      <c r="A17" s="5" t="s">
        <v>141</v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f aca="false">SUM(B17:H17)</f>
        <v>0</v>
      </c>
    </row>
    <row r="18" customFormat="false" ht="15" hidden="false" customHeight="true" outlineLevel="0" collapsed="false">
      <c r="A18" s="5" t="s">
        <v>136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f aca="false">SUM(B18:H18)</f>
        <v>0</v>
      </c>
    </row>
    <row r="19" customFormat="false" ht="15" hidden="false" customHeight="true" outlineLevel="0" collapsed="false">
      <c r="A19" s="7" t="s">
        <v>191</v>
      </c>
      <c r="B19" s="8" t="n">
        <f aca="false">SUM(B4:B18)</f>
        <v>22500</v>
      </c>
      <c r="C19" s="8" t="n">
        <f aca="false">SUM(C4:C18)</f>
        <v>72812.56</v>
      </c>
      <c r="D19" s="8" t="n">
        <f aca="false">SUM(D4:D18)</f>
        <v>30198.2</v>
      </c>
      <c r="E19" s="8" t="n">
        <f aca="false">SUM(E4:E18)</f>
        <v>0</v>
      </c>
      <c r="F19" s="8" t="n">
        <f aca="false">SUM(F4:F18)</f>
        <v>2940</v>
      </c>
      <c r="G19" s="8" t="n">
        <f aca="false">SUM(G4:G18)</f>
        <v>49818.6</v>
      </c>
      <c r="H19" s="8" t="n">
        <f aca="false">SUM(H4:H18)</f>
        <v>59601.16</v>
      </c>
      <c r="I19" s="8" t="n">
        <f aca="false">SUM(I4:I18)</f>
        <v>237870.52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192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150</v>
      </c>
      <c r="B4" s="6" t="n">
        <v>0</v>
      </c>
      <c r="C4" s="6" t="n">
        <v>0</v>
      </c>
      <c r="D4" s="6" t="n">
        <v>10000</v>
      </c>
      <c r="E4" s="6" t="n">
        <v>120000</v>
      </c>
      <c r="F4" s="6" t="n">
        <v>125000</v>
      </c>
      <c r="G4" s="6" t="n">
        <v>25000</v>
      </c>
      <c r="H4" s="6" t="n">
        <v>0</v>
      </c>
      <c r="I4" s="6" t="n">
        <f aca="false">SUM(B4:H4)</f>
        <v>280000</v>
      </c>
    </row>
    <row r="5" customFormat="false" ht="15" hidden="false" customHeight="true" outlineLevel="0" collapsed="false">
      <c r="A5" s="5" t="s">
        <v>149</v>
      </c>
      <c r="B5" s="6" t="n">
        <v>0</v>
      </c>
      <c r="C5" s="6" t="n">
        <v>0</v>
      </c>
      <c r="D5" s="6" t="n">
        <v>10000</v>
      </c>
      <c r="E5" s="6" t="n">
        <v>0</v>
      </c>
      <c r="F5" s="6" t="n">
        <v>0</v>
      </c>
      <c r="G5" s="6" t="n">
        <v>0</v>
      </c>
      <c r="H5" s="6" t="n">
        <v>149593.54</v>
      </c>
      <c r="I5" s="6" t="n">
        <f aca="false">SUM(B5:H5)</f>
        <v>159593.54</v>
      </c>
    </row>
    <row r="6" customFormat="false" ht="15" hidden="false" customHeight="true" outlineLevel="0" collapsed="false">
      <c r="A6" s="5" t="s">
        <v>157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32000</v>
      </c>
      <c r="H6" s="6" t="n">
        <v>0</v>
      </c>
      <c r="I6" s="6" t="n">
        <f aca="false">SUM(B6:H6)</f>
        <v>32000</v>
      </c>
    </row>
    <row r="7" customFormat="false" ht="15" hidden="false" customHeight="true" outlineLevel="0" collapsed="false">
      <c r="A7" s="5" t="s">
        <v>153</v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13428</v>
      </c>
      <c r="I7" s="6" t="n">
        <f aca="false">SUM(B7:H7)</f>
        <v>13428</v>
      </c>
    </row>
    <row r="8" customFormat="false" ht="15" hidden="false" customHeight="true" outlineLevel="0" collapsed="false">
      <c r="A8" s="5" t="s">
        <v>158</v>
      </c>
      <c r="B8" s="6" t="n">
        <v>0</v>
      </c>
      <c r="C8" s="6" t="n">
        <v>0</v>
      </c>
      <c r="D8" s="6" t="n">
        <v>7900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f aca="false">SUM(B8:H8)</f>
        <v>7900</v>
      </c>
    </row>
    <row r="9" customFormat="false" ht="15" hidden="false" customHeight="true" outlineLevel="0" collapsed="false">
      <c r="A9" s="5" t="s">
        <v>155</v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f aca="false">SUM(B9:H9)</f>
        <v>0</v>
      </c>
    </row>
    <row r="10" customFormat="false" ht="15" hidden="false" customHeight="true" outlineLevel="0" collapsed="false">
      <c r="A10" s="5" t="s">
        <v>156</v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f aca="false">SUM(B10:H10)</f>
        <v>0</v>
      </c>
    </row>
    <row r="11" customFormat="false" ht="15" hidden="false" customHeight="true" outlineLevel="0" collapsed="false">
      <c r="A11" s="5" t="s">
        <v>151</v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f aca="false">SUM(B11:H11)</f>
        <v>0</v>
      </c>
    </row>
    <row r="12" customFormat="false" ht="15" hidden="false" customHeight="true" outlineLevel="0" collapsed="false">
      <c r="A12" s="5" t="s">
        <v>154</v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f aca="false">SUM(B12:H12)</f>
        <v>0</v>
      </c>
    </row>
    <row r="13" customFormat="false" ht="15" hidden="false" customHeight="true" outlineLevel="0" collapsed="false">
      <c r="A13" s="5" t="s">
        <v>152</v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f aca="false">SUM(B13:H13)</f>
        <v>0</v>
      </c>
    </row>
    <row r="14" customFormat="false" ht="15" hidden="false" customHeight="true" outlineLevel="0" collapsed="false">
      <c r="A14" s="7" t="s">
        <v>193</v>
      </c>
      <c r="B14" s="8" t="n">
        <f aca="false">SUM(B4:B13)</f>
        <v>0</v>
      </c>
      <c r="C14" s="8" t="n">
        <f aca="false">SUM(C4:C13)</f>
        <v>0</v>
      </c>
      <c r="D14" s="8" t="n">
        <f aca="false">SUM(D4:D13)</f>
        <v>27900</v>
      </c>
      <c r="E14" s="8" t="n">
        <f aca="false">SUM(E4:E13)</f>
        <v>120000</v>
      </c>
      <c r="F14" s="8" t="n">
        <f aca="false">SUM(F4:F13)</f>
        <v>125000</v>
      </c>
      <c r="G14" s="8" t="n">
        <f aca="false">SUM(G4:G13)</f>
        <v>57000</v>
      </c>
      <c r="H14" s="8" t="n">
        <f aca="false">SUM(H4:H13)</f>
        <v>163021.54</v>
      </c>
      <c r="I14" s="8" t="n">
        <f aca="false">SUM(I4:I13)</f>
        <v>492921.54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194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161</v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f aca="false">SUM(B4:H4)</f>
        <v>0</v>
      </c>
    </row>
    <row r="5" customFormat="false" ht="15" hidden="false" customHeight="true" outlineLevel="0" collapsed="false">
      <c r="A5" s="5" t="s">
        <v>162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f aca="false">SUM(B5:H5)</f>
        <v>0</v>
      </c>
    </row>
    <row r="6" customFormat="false" ht="15" hidden="false" customHeight="true" outlineLevel="0" collapsed="false">
      <c r="A6" s="5" t="s">
        <v>163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f aca="false">SUM(B6:H6)</f>
        <v>0</v>
      </c>
    </row>
    <row r="7" customFormat="false" ht="15" hidden="false" customHeight="true" outlineLevel="0" collapsed="false">
      <c r="A7" s="7" t="s">
        <v>195</v>
      </c>
      <c r="B7" s="8" t="n">
        <f aca="false">SUM(B4:B6)</f>
        <v>0</v>
      </c>
      <c r="C7" s="8" t="n">
        <f aca="false">SUM(C4:C6)</f>
        <v>0</v>
      </c>
      <c r="D7" s="8" t="n">
        <f aca="false">SUM(D4:D6)</f>
        <v>0</v>
      </c>
      <c r="E7" s="8" t="n">
        <f aca="false">SUM(E4:E6)</f>
        <v>0</v>
      </c>
      <c r="F7" s="8" t="n">
        <f aca="false">SUM(F4:F6)</f>
        <v>0</v>
      </c>
      <c r="G7" s="8" t="n">
        <f aca="false">SUM(G4:G6)</f>
        <v>0</v>
      </c>
      <c r="H7" s="8" t="n">
        <f aca="false">SUM(H4:H6)</f>
        <v>0</v>
      </c>
      <c r="I7" s="8" t="n">
        <f aca="false">SUM(I4:I6)</f>
        <v>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9" min="2" style="1" width="13"/>
  </cols>
  <sheetData>
    <row r="1" customFormat="false" ht="15.75" hidden="false" customHeight="true" outlineLevel="0" collapsed="false">
      <c r="A1" s="28" t="s">
        <v>196</v>
      </c>
      <c r="B1" s="28"/>
      <c r="C1" s="28"/>
      <c r="D1" s="28"/>
      <c r="E1" s="28"/>
      <c r="F1" s="28"/>
      <c r="G1" s="28"/>
      <c r="H1" s="28"/>
      <c r="I1" s="28"/>
    </row>
    <row r="3" customFormat="false" ht="15" hidden="false" customHeight="true" outlineLevel="0" collapsed="false">
      <c r="A3" s="4" t="s">
        <v>38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14</v>
      </c>
      <c r="I3" s="4" t="s">
        <v>19</v>
      </c>
    </row>
    <row r="4" customFormat="false" ht="15" hidden="false" customHeight="true" outlineLevel="0" collapsed="false">
      <c r="A4" s="5" t="s">
        <v>167</v>
      </c>
      <c r="B4" s="6" t="n">
        <v>0</v>
      </c>
      <c r="C4" s="6" t="n">
        <v>0</v>
      </c>
      <c r="D4" s="6" t="n">
        <v>141000</v>
      </c>
      <c r="E4" s="6" t="n">
        <v>141000</v>
      </c>
      <c r="F4" s="6" t="n">
        <v>0</v>
      </c>
      <c r="G4" s="6" t="n">
        <v>0</v>
      </c>
      <c r="H4" s="6" t="n">
        <v>0</v>
      </c>
      <c r="I4" s="6" t="n">
        <f aca="false">SUM(B4:H4)</f>
        <v>282000</v>
      </c>
    </row>
    <row r="5" customFormat="false" ht="15" hidden="false" customHeight="true" outlineLevel="0" collapsed="false">
      <c r="A5" s="5" t="s">
        <v>168</v>
      </c>
      <c r="B5" s="6" t="n">
        <v>0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154000</v>
      </c>
      <c r="I5" s="6" t="n">
        <f aca="false">SUM(B5:H5)</f>
        <v>154000</v>
      </c>
    </row>
    <row r="6" customFormat="false" ht="15" hidden="false" customHeight="true" outlineLevel="0" collapsed="false">
      <c r="A6" s="5" t="s">
        <v>166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f aca="false">SUM(B6:H6)</f>
        <v>0</v>
      </c>
    </row>
    <row r="7" customFormat="false" ht="15" hidden="false" customHeight="true" outlineLevel="0" collapsed="false">
      <c r="A7" s="7" t="s">
        <v>197</v>
      </c>
      <c r="B7" s="8" t="n">
        <f aca="false">SUM(B4:B6)</f>
        <v>0</v>
      </c>
      <c r="C7" s="8" t="n">
        <f aca="false">SUM(C4:C6)</f>
        <v>0</v>
      </c>
      <c r="D7" s="8" t="n">
        <f aca="false">SUM(D4:D6)</f>
        <v>141000</v>
      </c>
      <c r="E7" s="8" t="n">
        <f aca="false">SUM(E4:E6)</f>
        <v>141000</v>
      </c>
      <c r="F7" s="8" t="n">
        <f aca="false">SUM(F4:F6)</f>
        <v>0</v>
      </c>
      <c r="G7" s="8" t="n">
        <f aca="false">SUM(G4:G6)</f>
        <v>0</v>
      </c>
      <c r="H7" s="8" t="n">
        <f aca="false">SUM(H4:H6)</f>
        <v>154000</v>
      </c>
      <c r="I7" s="8" t="n">
        <f aca="false">SUM(I4:I6)</f>
        <v>436000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2026-06-10T21:47:01Z</dcterms:created>
  <dc:creator>openpyxl</dc:creator>
  <dc:description/>
  <dc:language>en-US</dc:language>
  <cp:lastModifiedBy/>
  <dcterms:modified xsi:type="dcterms:W3CDTF">2026-06-10T22:47:01Z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