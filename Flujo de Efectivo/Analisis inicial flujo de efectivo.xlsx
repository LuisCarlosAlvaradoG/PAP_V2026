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omments3.xml" ContentType="application/vnd.openxmlformats-officedocument.spreadsheetml.comment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4.xml" ContentType="application/vnd.openxmlformats-officedocument.drawing+xml"/>
  <Override PartName="/xl/comments4.xml" ContentType="application/vnd.openxmlformats-officedocument.spreadsheetml.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uis\Downloads\"/>
    </mc:Choice>
  </mc:AlternateContent>
  <xr:revisionPtr revIDLastSave="0" documentId="13_ncr:1_{68A4A295-D205-4593-81C2-71EBE46F99C7}" xr6:coauthVersionLast="47" xr6:coauthVersionMax="47" xr10:uidLastSave="{00000000-0000-0000-0000-000000000000}"/>
  <bookViews>
    <workbookView xWindow="-108" yWindow="-108" windowWidth="23256" windowHeight="12576" xr2:uid="{DF9A63DF-E529-40FE-86C2-2327F6538A3C}"/>
  </bookViews>
  <sheets>
    <sheet name="Dashboard" sheetId="32" r:id="rId1"/>
    <sheet name="Hoja1" sheetId="1" r:id="rId2"/>
    <sheet name="Pivots" sheetId="33" r:id="rId3"/>
    <sheet name="BD Gastos" sheetId="31" r:id="rId4"/>
    <sheet name="10-15 NOV" sheetId="2" r:id="rId5"/>
    <sheet name="17-22 NOV" sheetId="3" r:id="rId6"/>
    <sheet name="24-29 NOV" sheetId="4" r:id="rId7"/>
    <sheet name="01-06 Dic" sheetId="5" r:id="rId8"/>
    <sheet name="08-13 Dic" sheetId="6" r:id="rId9"/>
    <sheet name="15-20 Dic" sheetId="7" r:id="rId10"/>
    <sheet name="21-27 Dic" sheetId="8" r:id="rId11"/>
    <sheet name="29 Dic 03 Ene" sheetId="9" r:id="rId12"/>
    <sheet name="05 10 Ene" sheetId="10" r:id="rId13"/>
    <sheet name="11 17 Ene" sheetId="11" r:id="rId14"/>
    <sheet name="19 24 Ene" sheetId="12" r:id="rId15"/>
    <sheet name="26 31 Ene" sheetId="13" r:id="rId16"/>
    <sheet name="01 07 Feb" sheetId="14" r:id="rId17"/>
    <sheet name="09 14 Feb" sheetId="15" r:id="rId18"/>
    <sheet name="16 21 Feb" sheetId="16" r:id="rId19"/>
    <sheet name="23 28 Feb" sheetId="17" r:id="rId20"/>
    <sheet name="02 07 Mar" sheetId="18" r:id="rId21"/>
    <sheet name="09-14 Mar" sheetId="20" r:id="rId22"/>
    <sheet name="16 21 Mar" sheetId="19" r:id="rId23"/>
    <sheet name="23 28 Mar" sheetId="21" r:id="rId24"/>
    <sheet name="30 Mar 04 Abril" sheetId="22" r:id="rId25"/>
    <sheet name="06 11 Abril" sheetId="23" r:id="rId26"/>
    <sheet name="13 18 Abril" sheetId="24" r:id="rId27"/>
    <sheet name="20 25 Abril" sheetId="25" r:id="rId28"/>
    <sheet name="27 Abril 02 Mayo" sheetId="26" r:id="rId29"/>
    <sheet name="04 09 Mayo" sheetId="27" r:id="rId30"/>
    <sheet name="11 16 Mayo" sheetId="28" r:id="rId31"/>
    <sheet name="18 23 Mayo" sheetId="29" r:id="rId32"/>
    <sheet name="25 30 Mayo" sheetId="30" r:id="rId33"/>
  </sheets>
  <definedNames>
    <definedName name="SegmentaciónDeDatos_Categoría">#N/A</definedName>
    <definedName name="SegmentaciónDeDatos_Semana">#N/A</definedName>
  </definedNames>
  <calcPr calcId="191029"/>
  <pivotCaches>
    <pivotCache cacheId="0" r:id="rId34"/>
    <pivotCache cacheId="5" r:id="rId35"/>
  </pivotCaches>
  <extLst>
    <ext xmlns:x14="http://schemas.microsoft.com/office/spreadsheetml/2009/9/main" uri="{BBE1A952-AA13-448e-AADC-164F8A28A991}">
      <x14:slicerCaches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33" l="1"/>
  <c r="AI8" i="33"/>
  <c r="AH8" i="33"/>
  <c r="AJ7" i="33"/>
  <c r="AI7" i="33"/>
  <c r="AH7" i="33"/>
  <c r="AJ6" i="33"/>
  <c r="AI6" i="33"/>
  <c r="AH6" i="33"/>
  <c r="AJ5" i="33"/>
  <c r="AI5" i="33"/>
  <c r="AH5" i="33"/>
  <c r="AJ4" i="33"/>
  <c r="AI4" i="33"/>
  <c r="AH4" i="33"/>
  <c r="AJ3" i="33"/>
  <c r="AI3" i="33"/>
  <c r="AH3" i="33"/>
  <c r="AJ2" i="33"/>
  <c r="AI2" i="33"/>
  <c r="AH2" i="33"/>
  <c r="R6" i="30"/>
  <c r="R5" i="30"/>
  <c r="R4" i="30"/>
  <c r="R3" i="30"/>
  <c r="R2" i="30"/>
  <c r="P6" i="29"/>
  <c r="P5" i="29"/>
  <c r="P4" i="29"/>
  <c r="P3" i="29"/>
  <c r="P2" i="29"/>
  <c r="N6" i="28"/>
  <c r="N5" i="28"/>
  <c r="N4" i="28"/>
  <c r="N3" i="28"/>
  <c r="N2" i="28"/>
  <c r="N6" i="27"/>
  <c r="N5" i="27"/>
  <c r="N4" i="27"/>
  <c r="N3" i="27"/>
  <c r="N2" i="27"/>
  <c r="O6" i="26"/>
  <c r="O5" i="26"/>
  <c r="O4" i="26"/>
  <c r="O3" i="26"/>
  <c r="O2" i="26"/>
  <c r="R6" i="25"/>
  <c r="R5" i="25"/>
  <c r="R4" i="25"/>
  <c r="R3" i="25"/>
  <c r="R2" i="25"/>
  <c r="Q6" i="24"/>
  <c r="Q5" i="24"/>
  <c r="Q4" i="24"/>
  <c r="Q3" i="24"/>
  <c r="Q2" i="24"/>
  <c r="Q6" i="23"/>
  <c r="Q5" i="23"/>
  <c r="Q4" i="23"/>
  <c r="Q3" i="23"/>
  <c r="Q2" i="23"/>
  <c r="Q6" i="22"/>
  <c r="Q5" i="22"/>
  <c r="Q4" i="22"/>
  <c r="Q3" i="22"/>
  <c r="Q2" i="22"/>
  <c r="Q6" i="21"/>
  <c r="Q5" i="21"/>
  <c r="Q4" i="21"/>
  <c r="Q3" i="21"/>
  <c r="Q2" i="21"/>
  <c r="Q6" i="19"/>
  <c r="Q5" i="19"/>
  <c r="Q4" i="19"/>
  <c r="Q3" i="19"/>
  <c r="Q2" i="19"/>
  <c r="Q6" i="20"/>
  <c r="Q5" i="20"/>
  <c r="Q4" i="20"/>
  <c r="Q3" i="20"/>
  <c r="Q2" i="20"/>
  <c r="Q6" i="18"/>
  <c r="Q4" i="18"/>
  <c r="Q3" i="18"/>
  <c r="Q2" i="18"/>
  <c r="Q6" i="17"/>
  <c r="Q4" i="17"/>
  <c r="Q3" i="17"/>
  <c r="Q2" i="17"/>
  <c r="P6" i="16"/>
  <c r="P4" i="16"/>
  <c r="P3" i="16"/>
  <c r="P2" i="16"/>
  <c r="P6" i="15"/>
  <c r="P4" i="15"/>
  <c r="P3" i="15"/>
  <c r="P2" i="15"/>
  <c r="P6" i="14"/>
  <c r="P4" i="14"/>
  <c r="P3" i="14"/>
  <c r="P2" i="14"/>
  <c r="P6" i="13"/>
  <c r="P4" i="13"/>
  <c r="P3" i="13"/>
  <c r="P2" i="13"/>
  <c r="P6" i="12"/>
  <c r="P4" i="12"/>
  <c r="P3" i="12"/>
  <c r="P2" i="12"/>
  <c r="P6" i="11"/>
  <c r="P4" i="11"/>
  <c r="P3" i="11"/>
  <c r="P2" i="11"/>
  <c r="P6" i="10"/>
  <c r="P4" i="10"/>
  <c r="P3" i="10"/>
  <c r="P2" i="10"/>
  <c r="N6" i="9"/>
  <c r="N4" i="9"/>
  <c r="N3" i="9"/>
  <c r="N2" i="9"/>
  <c r="N6" i="8"/>
  <c r="N4" i="8"/>
  <c r="N3" i="8"/>
  <c r="N2" i="8"/>
  <c r="K6" i="7"/>
  <c r="K5" i="7"/>
  <c r="K4" i="7"/>
  <c r="K3" i="7"/>
  <c r="K2" i="7"/>
  <c r="Q6" i="6"/>
  <c r="Q5" i="6"/>
  <c r="Q4" i="6"/>
  <c r="Q3" i="6"/>
  <c r="Q2" i="6"/>
  <c r="Q6" i="5"/>
  <c r="Q5" i="5"/>
  <c r="Q4" i="5"/>
  <c r="Q3" i="5"/>
  <c r="Q2" i="5"/>
  <c r="M6" i="4"/>
  <c r="M5" i="4"/>
  <c r="M4" i="4"/>
  <c r="M3" i="4"/>
  <c r="M2" i="4"/>
  <c r="J6" i="3"/>
  <c r="J4" i="3"/>
  <c r="J3" i="3"/>
  <c r="J2" i="3"/>
  <c r="J6" i="2"/>
  <c r="J4" i="2"/>
  <c r="J3" i="2"/>
  <c r="J2" i="2"/>
  <c r="A68" i="32" a="1"/>
  <c r="A68" i="32" s="1"/>
  <c r="AC5" i="33"/>
  <c r="AC4" i="33"/>
  <c r="H2" i="31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24" i="31"/>
  <c r="H425" i="31"/>
  <c r="H426" i="31"/>
  <c r="H427" i="31"/>
  <c r="H428" i="31"/>
  <c r="H429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X30" i="33"/>
  <c r="X29" i="33"/>
  <c r="X28" i="33"/>
  <c r="X27" i="33"/>
  <c r="AD8" i="33" s="1"/>
  <c r="X26" i="33"/>
  <c r="X25" i="33"/>
  <c r="X24" i="33"/>
  <c r="X23" i="33"/>
  <c r="AD7" i="33" s="1"/>
  <c r="X22" i="33"/>
  <c r="X21" i="33"/>
  <c r="X20" i="33"/>
  <c r="X19" i="33"/>
  <c r="X18" i="33"/>
  <c r="AD6" i="33" s="1"/>
  <c r="X17" i="33"/>
  <c r="X16" i="33"/>
  <c r="X15" i="33"/>
  <c r="X14" i="33"/>
  <c r="AD5" i="33" s="1"/>
  <c r="X13" i="33"/>
  <c r="X12" i="33"/>
  <c r="X11" i="33"/>
  <c r="X10" i="33"/>
  <c r="AD4" i="33" s="1"/>
  <c r="X9" i="33"/>
  <c r="X8" i="33"/>
  <c r="X7" i="33"/>
  <c r="AD3" i="33" s="1"/>
  <c r="X6" i="33"/>
  <c r="X5" i="33"/>
  <c r="X4" i="33"/>
  <c r="X3" i="33"/>
  <c r="X2" i="33"/>
  <c r="AD2" i="33" s="1"/>
  <c r="R2" i="33" a="1"/>
  <c r="R2" i="33" s="1"/>
  <c r="E474" i="31"/>
  <c r="F474" i="31"/>
  <c r="G2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416" i="31"/>
  <c r="G417" i="31"/>
  <c r="G418" i="31"/>
  <c r="G419" i="31"/>
  <c r="G420" i="31"/>
  <c r="G421" i="31"/>
  <c r="G422" i="31"/>
  <c r="G423" i="31"/>
  <c r="G424" i="31"/>
  <c r="G425" i="31"/>
  <c r="G426" i="31"/>
  <c r="G427" i="31"/>
  <c r="G428" i="31"/>
  <c r="G429" i="31"/>
  <c r="G430" i="31"/>
  <c r="G431" i="31"/>
  <c r="G432" i="31"/>
  <c r="G433" i="31"/>
  <c r="G434" i="31"/>
  <c r="G435" i="31"/>
  <c r="G436" i="31"/>
  <c r="G437" i="31"/>
  <c r="G438" i="31"/>
  <c r="G439" i="31"/>
  <c r="G440" i="31"/>
  <c r="G441" i="31"/>
  <c r="G442" i="31"/>
  <c r="G443" i="31"/>
  <c r="G444" i="31"/>
  <c r="G445" i="31"/>
  <c r="G446" i="31"/>
  <c r="G447" i="31"/>
  <c r="G448" i="31"/>
  <c r="G449" i="31"/>
  <c r="G450" i="31"/>
  <c r="G451" i="31"/>
  <c r="G452" i="31"/>
  <c r="G453" i="31"/>
  <c r="G454" i="31"/>
  <c r="G455" i="31"/>
  <c r="G456" i="31"/>
  <c r="G457" i="31"/>
  <c r="G458" i="31"/>
  <c r="G459" i="31"/>
  <c r="G460" i="31"/>
  <c r="G461" i="31"/>
  <c r="G462" i="31"/>
  <c r="G463" i="31"/>
  <c r="G464" i="31"/>
  <c r="G465" i="31"/>
  <c r="G466" i="31"/>
  <c r="G467" i="31"/>
  <c r="G468" i="31"/>
  <c r="G469" i="31"/>
  <c r="G470" i="31"/>
  <c r="G471" i="31"/>
  <c r="G472" i="31"/>
  <c r="G473" i="31"/>
  <c r="D51" i="26"/>
  <c r="D44" i="25"/>
  <c r="D39" i="12"/>
  <c r="D39" i="10"/>
  <c r="D40" i="9"/>
  <c r="D40" i="8"/>
  <c r="D28" i="4"/>
  <c r="D27" i="3"/>
  <c r="D20" i="2"/>
  <c r="D4" i="32" a="1"/>
  <c r="D4" i="32" s="1"/>
  <c r="C4" i="32"/>
  <c r="B4" i="32"/>
  <c r="A4" i="32"/>
  <c r="N2" i="33" a="1"/>
  <c r="N2" i="33" s="1"/>
  <c r="L7" i="30"/>
  <c r="J13" i="30"/>
  <c r="V30" i="33" s="1"/>
  <c r="C44" i="30"/>
  <c r="L11" i="30"/>
  <c r="I31" i="30"/>
  <c r="AE5" i="33" l="1"/>
  <c r="X31" i="33"/>
  <c r="AE2" i="33"/>
  <c r="AE7" i="33"/>
  <c r="AE4" i="33"/>
  <c r="AE6" i="33"/>
  <c r="AE3" i="33"/>
  <c r="AE8" i="33"/>
  <c r="S2" i="33" a="1"/>
  <c r="S2" i="33" s="1"/>
  <c r="E4" i="32"/>
  <c r="O2" i="33" a="1"/>
  <c r="O2" i="33" s="1"/>
  <c r="N57" i="30"/>
  <c r="K47" i="30"/>
  <c r="J47" i="30"/>
  <c r="L46" i="30"/>
  <c r="N58" i="30" l="1"/>
  <c r="M55" i="30"/>
  <c r="N47" i="30"/>
  <c r="L53" i="30"/>
  <c r="M53" i="30" s="1"/>
  <c r="L54" i="30"/>
  <c r="M54" i="30" s="1"/>
  <c r="L52" i="30"/>
  <c r="M52" i="30" s="1"/>
  <c r="L51" i="30"/>
  <c r="M51" i="30" s="1"/>
  <c r="D18" i="30"/>
  <c r="D53" i="30" s="1"/>
  <c r="C43" i="30"/>
  <c r="J59" i="30" l="1"/>
  <c r="M57" i="30"/>
  <c r="J60" i="30" s="1"/>
  <c r="C11" i="30"/>
  <c r="J27" i="30"/>
  <c r="W30" i="33" s="1"/>
  <c r="C26" i="30"/>
  <c r="J40" i="29"/>
  <c r="J41" i="29" s="1"/>
  <c r="K41" i="29" s="1"/>
  <c r="I19" i="29"/>
  <c r="I26" i="29" s="1"/>
  <c r="W29" i="33" s="1"/>
  <c r="N33" i="30"/>
  <c r="F33" i="30"/>
  <c r="C32" i="30"/>
  <c r="F28" i="30"/>
  <c r="K25" i="30"/>
  <c r="K24" i="30"/>
  <c r="K20" i="30"/>
  <c r="K18" i="30"/>
  <c r="K17" i="30"/>
  <c r="C27" i="29"/>
  <c r="B53" i="29" s="1"/>
  <c r="J61" i="30" l="1"/>
  <c r="J29" i="30"/>
  <c r="C10" i="30" s="1"/>
  <c r="M65" i="30"/>
  <c r="L65" i="30" s="1"/>
  <c r="F53" i="30"/>
  <c r="K26" i="30"/>
  <c r="M33" i="29"/>
  <c r="K8" i="29"/>
  <c r="L8" i="29" s="1"/>
  <c r="C11" i="29"/>
  <c r="C53" i="30" l="1"/>
  <c r="J14" i="30" s="1"/>
  <c r="M67" i="30"/>
  <c r="L66" i="30"/>
  <c r="L67" i="30" s="1"/>
  <c r="D18" i="28"/>
  <c r="D49" i="28" s="1"/>
  <c r="I28" i="28"/>
  <c r="I36" i="28"/>
  <c r="I39" i="28" s="1"/>
  <c r="K31" i="28"/>
  <c r="H27" i="28"/>
  <c r="H20" i="28"/>
  <c r="H26" i="28" s="1"/>
  <c r="W28" i="33" s="1"/>
  <c r="C47" i="28"/>
  <c r="C35" i="28"/>
  <c r="C21" i="28"/>
  <c r="C11" i="28"/>
  <c r="C7" i="28"/>
  <c r="H28" i="28" l="1"/>
  <c r="C10" i="28" s="1"/>
  <c r="C49" i="28" s="1"/>
  <c r="K32" i="28"/>
  <c r="K33" i="28" s="1"/>
  <c r="J28" i="28"/>
  <c r="D22" i="29"/>
  <c r="D18" i="29"/>
  <c r="K39" i="28" l="1"/>
  <c r="I13" i="29"/>
  <c r="V29" i="33" s="1"/>
  <c r="D7" i="29" l="1"/>
  <c r="D51" i="29" s="1"/>
  <c r="D60" i="29"/>
  <c r="D62" i="29" s="1"/>
  <c r="I28" i="29" l="1"/>
  <c r="D61" i="29"/>
  <c r="H60" i="28"/>
  <c r="J58" i="28"/>
  <c r="J61" i="28" s="1"/>
  <c r="J62" i="28" s="1"/>
  <c r="H58" i="28"/>
  <c r="D58" i="28"/>
  <c r="D60" i="28" s="1"/>
  <c r="D54" i="28"/>
  <c r="D53" i="28"/>
  <c r="H13" i="28"/>
  <c r="V28" i="33" s="1"/>
  <c r="H61" i="28" l="1"/>
  <c r="C10" i="29"/>
  <c r="H14" i="28"/>
  <c r="D59" i="28"/>
  <c r="C51" i="29" l="1"/>
  <c r="I14" i="29" s="1"/>
  <c r="D55" i="27"/>
  <c r="D57" i="27" s="1"/>
  <c r="D51" i="27"/>
  <c r="C36" i="27"/>
  <c r="K17" i="27"/>
  <c r="I30" i="27"/>
  <c r="H30" i="27"/>
  <c r="I26" i="27"/>
  <c r="I25" i="27"/>
  <c r="W27" i="33" s="1"/>
  <c r="AC8" i="33" s="1"/>
  <c r="C14" i="26"/>
  <c r="I13" i="26"/>
  <c r="V26" i="33" s="1"/>
  <c r="C39" i="26"/>
  <c r="C47" i="26"/>
  <c r="I60" i="27"/>
  <c r="K58" i="27"/>
  <c r="K61" i="27" s="1"/>
  <c r="K62" i="27" s="1"/>
  <c r="I58" i="27"/>
  <c r="D50" i="27"/>
  <c r="H39" i="27"/>
  <c r="F24" i="27"/>
  <c r="F45" i="27" s="1"/>
  <c r="D19" i="27"/>
  <c r="D46" i="27" s="1"/>
  <c r="I13" i="27"/>
  <c r="V27" i="33" s="1"/>
  <c r="AB8" i="33" s="1"/>
  <c r="AF8" i="33" s="1"/>
  <c r="F34" i="26"/>
  <c r="F51" i="26" s="1"/>
  <c r="D55" i="26"/>
  <c r="I24" i="26"/>
  <c r="C10" i="26" l="1"/>
  <c r="C11" i="26" s="1"/>
  <c r="W26" i="33"/>
  <c r="J30" i="27"/>
  <c r="D56" i="27"/>
  <c r="I27" i="27"/>
  <c r="C10" i="27" s="1"/>
  <c r="C11" i="27" s="1"/>
  <c r="I61" i="27"/>
  <c r="C17" i="26"/>
  <c r="C46" i="27" l="1"/>
  <c r="I14" i="27" s="1"/>
  <c r="I63" i="26"/>
  <c r="K61" i="26"/>
  <c r="K64" i="26" s="1"/>
  <c r="K65" i="26" s="1"/>
  <c r="I61" i="26"/>
  <c r="H42" i="26"/>
  <c r="H32" i="26"/>
  <c r="H33" i="26" s="1"/>
  <c r="L27" i="26"/>
  <c r="L29" i="26" s="1"/>
  <c r="I28" i="26"/>
  <c r="C35" i="25"/>
  <c r="L54" i="25"/>
  <c r="L57" i="25" s="1"/>
  <c r="L58" i="25" s="1"/>
  <c r="J54" i="25"/>
  <c r="J56" i="25"/>
  <c r="J57" i="25" l="1"/>
  <c r="I64" i="26"/>
  <c r="I38" i="25"/>
  <c r="J24" i="25"/>
  <c r="C27" i="25"/>
  <c r="C12" i="25"/>
  <c r="C41" i="25"/>
  <c r="J12" i="25"/>
  <c r="V25" i="33" s="1"/>
  <c r="J26" i="25" l="1"/>
  <c r="W25" i="33"/>
  <c r="C51" i="26"/>
  <c r="I14" i="26" s="1"/>
  <c r="F33" i="25"/>
  <c r="G32" i="25"/>
  <c r="G44" i="25" s="1"/>
  <c r="I30" i="25"/>
  <c r="I31" i="25" s="1"/>
  <c r="M25" i="25"/>
  <c r="M27" i="25" s="1"/>
  <c r="C9" i="25"/>
  <c r="C23" i="25" s="1"/>
  <c r="O17" i="25"/>
  <c r="I24" i="24"/>
  <c r="C34" i="24"/>
  <c r="D42" i="24"/>
  <c r="D43" i="24" s="1"/>
  <c r="J23" i="24"/>
  <c r="C42" i="19"/>
  <c r="I8" i="19"/>
  <c r="F32" i="24"/>
  <c r="F39" i="24" s="1"/>
  <c r="H30" i="24"/>
  <c r="H31" i="24" s="1"/>
  <c r="D33" i="24"/>
  <c r="L25" i="24"/>
  <c r="L27" i="24" s="1"/>
  <c r="D27" i="24"/>
  <c r="D39" i="24" s="1"/>
  <c r="N17" i="24"/>
  <c r="I7" i="23"/>
  <c r="I11" i="23" s="1"/>
  <c r="V23" i="33" s="1"/>
  <c r="F31" i="23"/>
  <c r="H30" i="23"/>
  <c r="H31" i="23" s="1"/>
  <c r="D30" i="23"/>
  <c r="L25" i="23"/>
  <c r="L27" i="23" s="1"/>
  <c r="D25" i="23"/>
  <c r="I23" i="23"/>
  <c r="N17" i="23"/>
  <c r="I23" i="22"/>
  <c r="W22" i="33" s="1"/>
  <c r="I7" i="22"/>
  <c r="F31" i="22"/>
  <c r="F36" i="22" s="1"/>
  <c r="H30" i="22"/>
  <c r="H31" i="22" s="1"/>
  <c r="D30" i="22"/>
  <c r="L25" i="22"/>
  <c r="L27" i="22" s="1"/>
  <c r="D25" i="22"/>
  <c r="D36" i="22" s="1"/>
  <c r="N17" i="22"/>
  <c r="I11" i="22"/>
  <c r="V22" i="33" s="1"/>
  <c r="L25" i="21"/>
  <c r="L27" i="21" s="1"/>
  <c r="F31" i="21"/>
  <c r="F36" i="21" s="1"/>
  <c r="H30" i="21"/>
  <c r="H31" i="21" s="1"/>
  <c r="D30" i="21"/>
  <c r="I25" i="21"/>
  <c r="D25" i="21"/>
  <c r="D36" i="21" s="1"/>
  <c r="N17" i="21"/>
  <c r="I11" i="21"/>
  <c r="V21" i="33" s="1"/>
  <c r="C8" i="21"/>
  <c r="I25" i="19"/>
  <c r="C17" i="19"/>
  <c r="N17" i="19"/>
  <c r="D7" i="19"/>
  <c r="D8" i="19"/>
  <c r="C8" i="19"/>
  <c r="AB7" i="33" l="1"/>
  <c r="C9" i="23"/>
  <c r="W23" i="33"/>
  <c r="AC7" i="33" s="1"/>
  <c r="C9" i="21"/>
  <c r="C22" i="21" s="1"/>
  <c r="W21" i="33"/>
  <c r="D35" i="23"/>
  <c r="D9" i="19"/>
  <c r="W20" i="33"/>
  <c r="C9" i="24"/>
  <c r="C23" i="24" s="1"/>
  <c r="W24" i="33"/>
  <c r="C44" i="25"/>
  <c r="J13" i="25" s="1"/>
  <c r="I26" i="24"/>
  <c r="F35" i="23"/>
  <c r="C22" i="23"/>
  <c r="C35" i="23" s="1"/>
  <c r="I12" i="23" s="1"/>
  <c r="I10" i="24" s="1"/>
  <c r="I12" i="24" s="1"/>
  <c r="V24" i="33" s="1"/>
  <c r="C36" i="21"/>
  <c r="I12" i="21" s="1"/>
  <c r="C43" i="20"/>
  <c r="E35" i="20"/>
  <c r="E37" i="20" s="1"/>
  <c r="D31" i="20"/>
  <c r="H30" i="20"/>
  <c r="H31" i="20" s="1"/>
  <c r="F30" i="20"/>
  <c r="F37" i="20" s="1"/>
  <c r="L27" i="20"/>
  <c r="L28" i="20" s="1"/>
  <c r="I23" i="20"/>
  <c r="D22" i="20"/>
  <c r="D37" i="20" s="1"/>
  <c r="M14" i="20"/>
  <c r="L14" i="20"/>
  <c r="M16" i="20" s="1"/>
  <c r="I8" i="20"/>
  <c r="I11" i="20" s="1"/>
  <c r="V19" i="33" s="1"/>
  <c r="C8" i="20" l="1"/>
  <c r="W19" i="33"/>
  <c r="AC6" i="33" s="1"/>
  <c r="C22" i="19"/>
  <c r="AF7" i="33"/>
  <c r="C39" i="24"/>
  <c r="I13" i="24" s="1"/>
  <c r="C22" i="20"/>
  <c r="C37" i="20" s="1"/>
  <c r="D30" i="19"/>
  <c r="D36" i="19" s="1"/>
  <c r="D11" i="18"/>
  <c r="C19" i="18"/>
  <c r="I12" i="20" l="1"/>
  <c r="D22" i="18"/>
  <c r="D36" i="18" s="1"/>
  <c r="I8" i="18"/>
  <c r="I11" i="18" s="1"/>
  <c r="V18" i="33" s="1"/>
  <c r="AB6" i="33" s="1"/>
  <c r="AF6" i="33" s="1"/>
  <c r="E34" i="19"/>
  <c r="H30" i="19"/>
  <c r="H31" i="19" s="1"/>
  <c r="F31" i="19"/>
  <c r="F36" i="19" s="1"/>
  <c r="I11" i="19"/>
  <c r="V20" i="33" s="1"/>
  <c r="C36" i="19" l="1"/>
  <c r="I23" i="18"/>
  <c r="C8" i="18" s="1"/>
  <c r="C22" i="18" s="1"/>
  <c r="H30" i="18"/>
  <c r="H31" i="18" s="1"/>
  <c r="F30" i="18"/>
  <c r="F36" i="18" s="1"/>
  <c r="L27" i="18"/>
  <c r="L28" i="18" s="1"/>
  <c r="M13" i="18"/>
  <c r="M14" i="18" s="1"/>
  <c r="I23" i="17"/>
  <c r="I12" i="19" l="1"/>
  <c r="C36" i="18"/>
  <c r="I12" i="18" s="1"/>
  <c r="D36" i="17"/>
  <c r="D12" i="17"/>
  <c r="D9" i="17"/>
  <c r="D37" i="17" s="1"/>
  <c r="C41" i="17"/>
  <c r="C32" i="17"/>
  <c r="C31" i="17"/>
  <c r="H30" i="17"/>
  <c r="H31" i="17" s="1"/>
  <c r="F30" i="17"/>
  <c r="F37" i="17" s="1"/>
  <c r="L27" i="17"/>
  <c r="L28" i="17" s="1"/>
  <c r="C8" i="17"/>
  <c r="C22" i="17" s="1"/>
  <c r="M13" i="17"/>
  <c r="M14" i="17" s="1"/>
  <c r="I11" i="17"/>
  <c r="V17" i="33" s="1"/>
  <c r="C37" i="17" l="1"/>
  <c r="I12" i="17" s="1"/>
  <c r="K27" i="16"/>
  <c r="K28" i="16" s="1"/>
  <c r="D26" i="16"/>
  <c r="D36" i="16" s="1"/>
  <c r="C22" i="16"/>
  <c r="C32" i="16" l="1"/>
  <c r="H11" i="16"/>
  <c r="V16" i="33" s="1"/>
  <c r="C31" i="16" l="1"/>
  <c r="G30" i="16"/>
  <c r="G31" i="16" s="1"/>
  <c r="C40" i="16"/>
  <c r="H23" i="16"/>
  <c r="C8" i="16" s="1"/>
  <c r="L13" i="16"/>
  <c r="L14" i="16" s="1"/>
  <c r="C36" i="16" l="1"/>
  <c r="H12" i="16" s="1"/>
  <c r="H11" i="14"/>
  <c r="V14" i="33" s="1"/>
  <c r="H11" i="13"/>
  <c r="V13" i="33" s="1"/>
  <c r="H33" i="12"/>
  <c r="C8" i="12" s="1"/>
  <c r="H11" i="12"/>
  <c r="V12" i="33" s="1"/>
  <c r="D31" i="15"/>
  <c r="D35" i="15" s="1"/>
  <c r="AB5" i="33" l="1"/>
  <c r="AF5" i="33" s="1"/>
  <c r="H11" i="15"/>
  <c r="V15" i="33" s="1"/>
  <c r="C33" i="15"/>
  <c r="H23" i="15"/>
  <c r="C8" i="15" s="1"/>
  <c r="L13" i="15"/>
  <c r="L14" i="15" s="1"/>
  <c r="C22" i="14"/>
  <c r="D32" i="14"/>
  <c r="D34" i="14" s="1"/>
  <c r="H23" i="14"/>
  <c r="L13" i="14"/>
  <c r="L14" i="14" s="1"/>
  <c r="D31" i="13"/>
  <c r="C22" i="15" l="1"/>
  <c r="C39" i="15"/>
  <c r="C8" i="14"/>
  <c r="C38" i="14" s="1"/>
  <c r="D40" i="13"/>
  <c r="D41" i="13" s="1"/>
  <c r="C38" i="13"/>
  <c r="C37" i="13"/>
  <c r="D32" i="13" s="1"/>
  <c r="D34" i="13" s="1"/>
  <c r="C32" i="13"/>
  <c r="C22" i="13"/>
  <c r="C35" i="15" l="1"/>
  <c r="H12" i="15" s="1"/>
  <c r="C34" i="14"/>
  <c r="H12" i="14" s="1"/>
  <c r="H23" i="13"/>
  <c r="L13" i="13"/>
  <c r="L14" i="13" s="1"/>
  <c r="L13" i="12"/>
  <c r="L14" i="12" s="1"/>
  <c r="C22" i="12"/>
  <c r="C37" i="12"/>
  <c r="H20" i="12"/>
  <c r="H23" i="12" s="1"/>
  <c r="C38" i="12"/>
  <c r="G42" i="12"/>
  <c r="G44" i="12" s="1"/>
  <c r="D26" i="11"/>
  <c r="L30" i="11"/>
  <c r="H7" i="11"/>
  <c r="H10" i="11"/>
  <c r="C39" i="12" l="1"/>
  <c r="H12" i="12"/>
  <c r="C8" i="13"/>
  <c r="H25" i="13"/>
  <c r="L20" i="11"/>
  <c r="G42" i="11"/>
  <c r="G44" i="11" s="1"/>
  <c r="J30" i="11"/>
  <c r="D22" i="11"/>
  <c r="D39" i="11" s="1"/>
  <c r="C34" i="13" l="1"/>
  <c r="H12" i="13" s="1"/>
  <c r="H33" i="11"/>
  <c r="H9" i="11"/>
  <c r="H8" i="11"/>
  <c r="H11" i="11" s="1"/>
  <c r="V11" i="33" s="1"/>
  <c r="H23" i="11"/>
  <c r="C39" i="11" s="1"/>
  <c r="K7" i="11"/>
  <c r="M7" i="11" s="1"/>
  <c r="M9" i="11" s="1"/>
  <c r="H11" i="10"/>
  <c r="V10" i="33" s="1"/>
  <c r="AB4" i="33" s="1"/>
  <c r="AF4" i="33" s="1"/>
  <c r="C35" i="13" l="1"/>
  <c r="H12" i="11"/>
  <c r="H20" i="10"/>
  <c r="H22" i="10" s="1"/>
  <c r="C8" i="10" s="1"/>
  <c r="C39" i="10" s="1"/>
  <c r="H12" i="10" s="1"/>
  <c r="K7" i="10"/>
  <c r="M7" i="10" s="1"/>
  <c r="M9" i="10" s="1"/>
  <c r="C49" i="10"/>
  <c r="H11" i="8"/>
  <c r="V8" i="33" s="1"/>
  <c r="C50" i="9"/>
  <c r="H37" i="9"/>
  <c r="C35" i="9"/>
  <c r="H31" i="9"/>
  <c r="H22" i="9"/>
  <c r="H26" i="9" s="1"/>
  <c r="H27" i="9" s="1"/>
  <c r="C40" i="9"/>
  <c r="H11" i="9"/>
  <c r="V9" i="33" s="1"/>
  <c r="H37" i="8"/>
  <c r="C50" i="8"/>
  <c r="H31" i="8"/>
  <c r="H22" i="8"/>
  <c r="H26" i="8" s="1"/>
  <c r="H27" i="8" s="1"/>
  <c r="H32" i="8" l="1"/>
  <c r="H32" i="9"/>
  <c r="H12" i="9"/>
  <c r="H13" i="9" s="1"/>
  <c r="C30" i="8"/>
  <c r="C13" i="8"/>
  <c r="C29" i="7"/>
  <c r="C40" i="8" l="1"/>
  <c r="H12" i="8"/>
  <c r="H13" i="8" s="1"/>
  <c r="C28" i="7"/>
  <c r="C23" i="7"/>
  <c r="C27" i="7"/>
  <c r="D12" i="7"/>
  <c r="D30" i="7" s="1"/>
  <c r="D26" i="7"/>
  <c r="H20" i="7"/>
  <c r="W7" i="33" s="1"/>
  <c r="H11" i="7"/>
  <c r="V7" i="33" s="1"/>
  <c r="C30" i="7" l="1"/>
  <c r="H12" i="7" s="1"/>
  <c r="M14" i="6"/>
  <c r="N14" i="6"/>
  <c r="H7" i="6"/>
  <c r="N15" i="6" l="1"/>
  <c r="D12" i="6"/>
  <c r="C30" i="6"/>
  <c r="H11" i="6"/>
  <c r="V6" i="33" s="1"/>
  <c r="C16" i="6"/>
  <c r="C28" i="6" s="1"/>
  <c r="H20" i="6"/>
  <c r="W6" i="33" s="1"/>
  <c r="D25" i="6"/>
  <c r="N31" i="5"/>
  <c r="N24" i="5"/>
  <c r="N27" i="5" s="1"/>
  <c r="N15" i="5"/>
  <c r="N14" i="5"/>
  <c r="C17" i="5"/>
  <c r="H29" i="5"/>
  <c r="D28" i="6" l="1"/>
  <c r="N19" i="5"/>
  <c r="H12" i="6"/>
  <c r="D27" i="5"/>
  <c r="D29" i="5" s="1"/>
  <c r="C24" i="5"/>
  <c r="C29" i="5" s="1"/>
  <c r="C44" i="5" l="1"/>
  <c r="C40" i="5"/>
  <c r="C46" i="5" s="1"/>
  <c r="C49" i="5" s="1"/>
  <c r="K18" i="5"/>
  <c r="W5" i="33" s="1"/>
  <c r="AC3" i="33" s="1"/>
  <c r="H11" i="5"/>
  <c r="V5" i="33" s="1"/>
  <c r="AB3" i="33" s="1"/>
  <c r="C28" i="4"/>
  <c r="J18" i="4"/>
  <c r="W4" i="33" s="1"/>
  <c r="C43" i="4"/>
  <c r="C39" i="4"/>
  <c r="G11" i="4"/>
  <c r="V4" i="33" s="1"/>
  <c r="C27" i="3"/>
  <c r="W31" i="33" l="1"/>
  <c r="G4" i="32" s="1"/>
  <c r="AC2" i="33"/>
  <c r="AF3" i="33"/>
  <c r="C45" i="4"/>
  <c r="C48" i="4" s="1"/>
  <c r="G11" i="3"/>
  <c r="V3" i="33" s="1"/>
  <c r="C20" i="2" l="1"/>
  <c r="G11" i="2" l="1"/>
  <c r="V2" i="33" s="1"/>
  <c r="C26" i="2"/>
  <c r="C28" i="2" s="1"/>
  <c r="C29" i="2" s="1"/>
  <c r="K18" i="1"/>
  <c r="AB2" i="33" l="1"/>
  <c r="AF2" i="33" s="1"/>
  <c r="V31" i="33"/>
  <c r="F4" i="32" s="1"/>
  <c r="M7" i="1"/>
  <c r="L21" i="1"/>
  <c r="K21" i="1"/>
  <c r="K22" i="1" s="1"/>
  <c r="H21" i="1"/>
  <c r="H25" i="1"/>
  <c r="D4" i="1"/>
  <c r="C10" i="1"/>
  <c r="C13" i="1"/>
  <c r="H27" i="1" l="1"/>
  <c r="C16" i="1"/>
  <c r="C20" i="1" s="1"/>
  <c r="C9" i="22"/>
  <c r="C22" i="22"/>
  <c r="C36" i="22" l="1"/>
  <c r="I12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9" authorId="0" shapeId="0" xr:uid="{6715C1A0-26A9-408D-B26D-E74335B2EBEB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9" authorId="0" shapeId="0" xr:uid="{92DE0455-102A-41C1-AFD5-8EA276AA0782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9" authorId="0" shapeId="0" xr:uid="{D23F0828-F91F-4108-ACE0-AF318C5BB49F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</author>
  </authors>
  <commentList>
    <comment ref="C9" authorId="0" shapeId="0" xr:uid="{C5E5448E-9551-4513-8A88-CF12470E9D2E}">
      <text>
        <r>
          <rPr>
            <b/>
            <sz val="9"/>
            <color indexed="81"/>
            <rFont val="Tahoma"/>
            <family val="2"/>
          </rPr>
          <t xml:space="preserve">Gastos Varias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<sst xmlns="http://schemas.openxmlformats.org/spreadsheetml/2006/main" count="3741" uniqueCount="452">
  <si>
    <t>ARA</t>
  </si>
  <si>
    <t>IMSS</t>
  </si>
  <si>
    <t>RAISA</t>
  </si>
  <si>
    <t>NOMINA 1</t>
  </si>
  <si>
    <t>FRESERO ALEX</t>
  </si>
  <si>
    <t>NOMINA 2</t>
  </si>
  <si>
    <t>TARIMA</t>
  </si>
  <si>
    <t>CIPSA</t>
  </si>
  <si>
    <t>FRESERO JOSE LUIS RODILES</t>
  </si>
  <si>
    <t>FRESERO GABRIEL</t>
  </si>
  <si>
    <t>TROQUELADO Y ALUM DE ZAMORA</t>
  </si>
  <si>
    <t>IMSS CXM</t>
  </si>
  <si>
    <t>GARNICA CONSULTING (Factura 415)</t>
  </si>
  <si>
    <t>BOLSA</t>
  </si>
  <si>
    <t>GARNICA CONSULTING (Factura 436)</t>
  </si>
  <si>
    <t>ETIQUETA BLANCA</t>
  </si>
  <si>
    <t>Codice</t>
  </si>
  <si>
    <t>RICA GONZALEZ</t>
  </si>
  <si>
    <t>CXM</t>
  </si>
  <si>
    <t>AVV</t>
  </si>
  <si>
    <t>Suma</t>
  </si>
  <si>
    <t>REPARACION CAMIONETA</t>
  </si>
  <si>
    <t>AA</t>
  </si>
  <si>
    <t>Deposito</t>
  </si>
  <si>
    <t>Nomina CXM</t>
  </si>
  <si>
    <t>Grua</t>
  </si>
  <si>
    <t>Saldo</t>
  </si>
  <si>
    <t>Gasto regreso</t>
  </si>
  <si>
    <t>FV</t>
  </si>
  <si>
    <t>Semana del 17 al 22 de Noviembre</t>
  </si>
  <si>
    <t>NOMINA FV</t>
  </si>
  <si>
    <t>EFECTIVO</t>
  </si>
  <si>
    <t>OMAR GUERRERO</t>
  </si>
  <si>
    <t>PLATANO</t>
  </si>
  <si>
    <t>GERA ARMENTA</t>
  </si>
  <si>
    <t>ARTURO GUERRERO</t>
  </si>
  <si>
    <t>CUENTA</t>
  </si>
  <si>
    <t>ALEX Y RAFA</t>
  </si>
  <si>
    <t>DEPACHO GARNICA</t>
  </si>
  <si>
    <t>LORE</t>
  </si>
  <si>
    <t>SIMA (CALIBRACION)</t>
  </si>
  <si>
    <t>NOMINA CXM</t>
  </si>
  <si>
    <t>PLATANO 1A RECEPCION (12/11/25)</t>
  </si>
  <si>
    <t>KG</t>
  </si>
  <si>
    <t>PLATANO 2A RECEPCION (14/11/25)</t>
  </si>
  <si>
    <t>SUMA</t>
  </si>
  <si>
    <t>SE FACTURO Y PAGO</t>
  </si>
  <si>
    <t>SALDO KG</t>
  </si>
  <si>
    <t>ROBERTO REYES</t>
  </si>
  <si>
    <t>SINDULFO</t>
  </si>
  <si>
    <t>SR IGNACIO</t>
  </si>
  <si>
    <t>LALO AGUIRRE</t>
  </si>
  <si>
    <t>CIELO (TARIMAS)</t>
  </si>
  <si>
    <t>Ing Aguilar , embolsadora</t>
  </si>
  <si>
    <t>Contador Raymundo</t>
  </si>
  <si>
    <t>Cristian Ramirez</t>
  </si>
  <si>
    <t>INGRESOS</t>
  </si>
  <si>
    <t>gaby</t>
  </si>
  <si>
    <t>EGRESOS</t>
  </si>
  <si>
    <t>TATA</t>
  </si>
  <si>
    <t>CHURRAS</t>
  </si>
  <si>
    <t>GUSTAVO</t>
  </si>
  <si>
    <t>VERO</t>
  </si>
  <si>
    <t>Tenencias</t>
  </si>
  <si>
    <t>Tenencia</t>
  </si>
  <si>
    <t>* Honda CRV</t>
  </si>
  <si>
    <t>CHEQUE</t>
  </si>
  <si>
    <t>* CX-7</t>
  </si>
  <si>
    <t>* Aveo</t>
  </si>
  <si>
    <t xml:space="preserve">* Ford Roja </t>
  </si>
  <si>
    <t>FV H100</t>
  </si>
  <si>
    <t>GRUA</t>
  </si>
  <si>
    <t>Semana del 01 al 06 de Diciembre</t>
  </si>
  <si>
    <t>EMBAPACK</t>
  </si>
  <si>
    <t>Churras</t>
  </si>
  <si>
    <t>Vero</t>
  </si>
  <si>
    <t>Gus</t>
  </si>
  <si>
    <t>Gus gastos</t>
  </si>
  <si>
    <t>Pago CIPSA</t>
  </si>
  <si>
    <t xml:space="preserve">Mandar al club x el refrigerador y snack </t>
  </si>
  <si>
    <t xml:space="preserve">Llevar cartón a vender </t>
  </si>
  <si>
    <t>Contador Carlos</t>
  </si>
  <si>
    <t>Ver con Gus y churras comida de los perros</t>
  </si>
  <si>
    <t>TRANSPORTE Gente</t>
  </si>
  <si>
    <t>Viaje de Gente</t>
  </si>
  <si>
    <t>Cipsa</t>
  </si>
  <si>
    <t>Bolsa Transparente (Chavinda)</t>
  </si>
  <si>
    <t>Transporte de Gente</t>
  </si>
  <si>
    <t>=</t>
  </si>
  <si>
    <t>Semana del 08 al 13 de Diciembre</t>
  </si>
  <si>
    <t>PAGO</t>
  </si>
  <si>
    <t>PENDIENTE</t>
  </si>
  <si>
    <t>ENTRADAS</t>
  </si>
  <si>
    <t>proberry</t>
  </si>
  <si>
    <t>Miguel</t>
  </si>
  <si>
    <t>Compañero</t>
  </si>
  <si>
    <t>2 kg Mango</t>
  </si>
  <si>
    <t>1 kg Fresa</t>
  </si>
  <si>
    <t>1 kg Frutos Rojos</t>
  </si>
  <si>
    <t>Diferencia</t>
  </si>
  <si>
    <t>Frambuesa</t>
  </si>
  <si>
    <t>48 Snack</t>
  </si>
  <si>
    <t>LORE (Transporte Personal)</t>
  </si>
  <si>
    <t>Soco</t>
  </si>
  <si>
    <t>CAJA CARTON (PATAGONIA)</t>
  </si>
  <si>
    <t>AVV (PAGO SANTANDER)</t>
  </si>
  <si>
    <t>Semana del 15 al 20 de Diciembre</t>
  </si>
  <si>
    <t>Honorarios contador</t>
  </si>
  <si>
    <t>ETIQUETAS CODICE</t>
  </si>
  <si>
    <t>AVV (PAGO SANTANDERT)</t>
  </si>
  <si>
    <t>REIMER</t>
  </si>
  <si>
    <t>Proberry</t>
  </si>
  <si>
    <t>AVV (PAGO MONARCA)</t>
  </si>
  <si>
    <t>telefono</t>
  </si>
  <si>
    <t>GUAYABAS LA ESPERANZA</t>
  </si>
  <si>
    <t>CONTRATO REIMER (Lic Carlos)</t>
  </si>
  <si>
    <t>Contador Reymundo</t>
  </si>
  <si>
    <t>FACTURA E IMPUESTOS LAR</t>
  </si>
  <si>
    <t>PAGO CONTPAQ</t>
  </si>
  <si>
    <t>Filtros</t>
  </si>
  <si>
    <t>Aceite (2 galones)</t>
  </si>
  <si>
    <t>Mano Obra Mecanico</t>
  </si>
  <si>
    <t>Refacciones Electrico</t>
  </si>
  <si>
    <t>Mano Obra Electrico</t>
  </si>
  <si>
    <t>Dia del Churras</t>
  </si>
  <si>
    <t>CELULAR</t>
  </si>
  <si>
    <t>Primus Lab</t>
  </si>
  <si>
    <t>Semana del 05 al 10 de Enero</t>
  </si>
  <si>
    <t>Proberry a Cuenta</t>
  </si>
  <si>
    <t>A cuenta Nomina</t>
  </si>
  <si>
    <t>Proberry barriles</t>
  </si>
  <si>
    <t>Brayan</t>
  </si>
  <si>
    <t>SANICHEM</t>
  </si>
  <si>
    <t>CODICE</t>
  </si>
  <si>
    <t>DIKEN</t>
  </si>
  <si>
    <t>OMAR nomina</t>
  </si>
  <si>
    <t>OMAR</t>
  </si>
  <si>
    <t>GALU</t>
  </si>
  <si>
    <t>Proberry a Cuenta ( Pago por contador efectivo)</t>
  </si>
  <si>
    <t>Nomina</t>
  </si>
  <si>
    <t>Caja 10 lbs</t>
  </si>
  <si>
    <t>Caja 30 lbs</t>
  </si>
  <si>
    <t>Jair</t>
  </si>
  <si>
    <t>LAR</t>
  </si>
  <si>
    <t>Bolsa (Chavinda)</t>
  </si>
  <si>
    <t>Cielo Alejandra</t>
  </si>
  <si>
    <t>TRANSPORTE LORE</t>
  </si>
  <si>
    <t>DELFIN</t>
  </si>
  <si>
    <t>PROLIZA</t>
  </si>
  <si>
    <t>IMPUESTOS OCTUBRE LAR</t>
  </si>
  <si>
    <t>ADEUDO GALU</t>
  </si>
  <si>
    <t>CAJA CARTON (RUTH)</t>
  </si>
  <si>
    <t>CAJA PATAGONI Y EMBAPACK</t>
  </si>
  <si>
    <t>Proberry Zarzamora</t>
  </si>
  <si>
    <t>del pago</t>
  </si>
  <si>
    <t>CAJA PATAGONIA</t>
  </si>
  <si>
    <t>Semana del 26 al 31 de Enero</t>
  </si>
  <si>
    <t>embapack</t>
  </si>
  <si>
    <t>GUSTAVO gastos</t>
  </si>
  <si>
    <t>gastos</t>
  </si>
  <si>
    <t>BOLSA 30 LBS CHAVINDA</t>
  </si>
  <si>
    <t>CAJA CARTON (PATAGONIA) 20 y 30 lbs</t>
  </si>
  <si>
    <t>Precio</t>
  </si>
  <si>
    <t>Cantidad</t>
  </si>
  <si>
    <t>Importe</t>
  </si>
  <si>
    <t>20 lbs</t>
  </si>
  <si>
    <t>30 lbs</t>
  </si>
  <si>
    <t>Semana del 02 al 07 Feb</t>
  </si>
  <si>
    <t>Proberry ARANDANO</t>
  </si>
  <si>
    <t>Proberry CRUMBLE</t>
  </si>
  <si>
    <t>CAJA RUTH GDL</t>
  </si>
  <si>
    <t>Semana del 09 al 14 Feb</t>
  </si>
  <si>
    <t>Proberry 80/20</t>
  </si>
  <si>
    <t>Saldo LAR</t>
  </si>
  <si>
    <t>Prestamo Embolsadora</t>
  </si>
  <si>
    <t>Edgar Joel Vega Martínez (Emplaye)</t>
  </si>
  <si>
    <t>MARACUYA BORREGOS</t>
  </si>
  <si>
    <t>SEGURO AVEO</t>
  </si>
  <si>
    <t>Semana del 16 al 21 Feb</t>
  </si>
  <si>
    <t>Proberry Crumble</t>
  </si>
  <si>
    <t>Proberry Bloque Fram</t>
  </si>
  <si>
    <t>Alejandro Rodriguez</t>
  </si>
  <si>
    <t>AVV MONARCA</t>
  </si>
  <si>
    <t>VERIFICACION FLOSOL</t>
  </si>
  <si>
    <t>Semana del 23 al 28 Feb</t>
  </si>
  <si>
    <t>FRANCISCO (Cancun)</t>
  </si>
  <si>
    <t>Semana del 02 al 07 Marzo</t>
  </si>
  <si>
    <t>Proberry Zarza</t>
  </si>
  <si>
    <t>EMBAPACK Bolsa Verde)</t>
  </si>
  <si>
    <t>Pendiente Domingo</t>
  </si>
  <si>
    <t>FRENOS CAMIONETA JESUS</t>
  </si>
  <si>
    <t xml:space="preserve">ETIQUETAS </t>
  </si>
  <si>
    <t>Semana del 09 al 14 de Marzo</t>
  </si>
  <si>
    <t>Gastos LAR</t>
  </si>
  <si>
    <t>JOSE HDEZ GARCIA (PAGO TARIMA)</t>
  </si>
  <si>
    <t>ALEJANDRO RODRIGUEZ</t>
  </si>
  <si>
    <t>MARACUYA</t>
  </si>
  <si>
    <t>Semana del 16 al 21 Marzo</t>
  </si>
  <si>
    <t>PEDIENTE JESUS ALVAREZ TRANSPORTE ZACAPU</t>
  </si>
  <si>
    <t>NOMINA JACONA</t>
  </si>
  <si>
    <t>GASTOS PENDIENTE</t>
  </si>
  <si>
    <t>FRENOS</t>
  </si>
  <si>
    <t>GAS (Gustavo le puso)</t>
  </si>
  <si>
    <t>GAS Efectivo Inge</t>
  </si>
  <si>
    <t>REP CAMIONETA Efectivo Inge</t>
  </si>
  <si>
    <t>REP CAMIONETA Deposito</t>
  </si>
  <si>
    <t>TRAMITES CFE</t>
  </si>
  <si>
    <t>COMPRA LAPTOP</t>
  </si>
  <si>
    <t>Semana del 23 al 28 Marzo</t>
  </si>
  <si>
    <t>PAGO BOTELLA PLASTICO 1 LTO</t>
  </si>
  <si>
    <t>AVV  (MONARCA)</t>
  </si>
  <si>
    <t>ROCIO IMPI</t>
  </si>
  <si>
    <t>Semana del 30 de Marzo al 04 Abril</t>
  </si>
  <si>
    <t>Semana del 06 al 11 Abril</t>
  </si>
  <si>
    <t>CIRAM</t>
  </si>
  <si>
    <t>ALBAÑILES JOAQUIN</t>
  </si>
  <si>
    <t>Semana del 13 al 18 Abril</t>
  </si>
  <si>
    <t>Semana pasada</t>
  </si>
  <si>
    <t>Pafgo AVV</t>
  </si>
  <si>
    <t>GLADYS (CERTIFICACION)</t>
  </si>
  <si>
    <t>Tony</t>
  </si>
  <si>
    <t>CIELO ALEJANDRA (TARIMAS) GONZALO</t>
  </si>
  <si>
    <t>CAJA RUTH GDLMK BOXES</t>
  </si>
  <si>
    <t>IMSS FV</t>
  </si>
  <si>
    <t>PAGO ACTA CONST FV PLUS</t>
  </si>
  <si>
    <t>CONVENIO IMSS CXM</t>
  </si>
  <si>
    <t>Malla Sombra 70%, 7.85 x 4.70 mts</t>
  </si>
  <si>
    <t>2 pzas</t>
  </si>
  <si>
    <t>Malla Sombra 70%, 1.90 x 2.43</t>
  </si>
  <si>
    <t>Malla Sombra 70%; 1.92 x 6.00</t>
  </si>
  <si>
    <t>P. Malla Sombra 70%; 1.25 x 2.50 mts</t>
  </si>
  <si>
    <t>P. Malla Sombra 70%; 2.00 x 2.50 mts</t>
  </si>
  <si>
    <t>1 pza</t>
  </si>
  <si>
    <t>P. Malla Sombra 70%; 2.50 x 2.50 mts</t>
  </si>
  <si>
    <t>Semana del 20 al 25 Abril</t>
  </si>
  <si>
    <t>Proberry Crumble Maritimo 1/2</t>
  </si>
  <si>
    <t>MAURICIO CARO</t>
  </si>
  <si>
    <t>Semana Pasada</t>
  </si>
  <si>
    <t>JOAQUIN (PENDIENTE Y REVOLVEDORA)</t>
  </si>
  <si>
    <t>ALBERTO</t>
  </si>
  <si>
    <t>JORGE ALFARO</t>
  </si>
  <si>
    <t>PRIMUS LAB</t>
  </si>
  <si>
    <t>SAM JARABES TAPATIOS</t>
  </si>
  <si>
    <t>MATERIAL RAISA</t>
  </si>
  <si>
    <t>PONCHO MADRIGAL (Fresa)</t>
  </si>
  <si>
    <t>Omar</t>
  </si>
  <si>
    <t>Caja Patagonia</t>
  </si>
  <si>
    <t>Semana del 27 Abril 02 Mayo</t>
  </si>
  <si>
    <t>NOMINA JACONA SABADO</t>
  </si>
  <si>
    <t>Proberry Crumble Aguascalientes</t>
  </si>
  <si>
    <t>NOMINA JACONA MIERCOLES</t>
  </si>
  <si>
    <t>Proberry Picos</t>
  </si>
  <si>
    <t>xx/04/2026</t>
  </si>
  <si>
    <t>EMBAPACK Bolsa Verde</t>
  </si>
  <si>
    <t>EMBAPACK Bolsa AZUL</t>
  </si>
  <si>
    <t>Pendiente Festivo</t>
  </si>
  <si>
    <t>A cuenta</t>
  </si>
  <si>
    <t>Varios (Llaves reparacion FV)</t>
  </si>
  <si>
    <t>Aceros Gutz</t>
  </si>
  <si>
    <t>FLEJE MONTERREY</t>
  </si>
  <si>
    <t>IMSS (DEPOSITO A CUENTA AVV)</t>
  </si>
  <si>
    <t>Pintura FV ( cubeta Esmalte)</t>
  </si>
  <si>
    <t>TRES GUERRAS</t>
  </si>
  <si>
    <t>J. JESUS MAGAÑA TORRES, BBVA 0134654285</t>
  </si>
  <si>
    <t>IMPRENTA BERNARDO</t>
  </si>
  <si>
    <t>Semana del 04 al 09 Mayo</t>
  </si>
  <si>
    <t>Proberry 80/20 Julio caja 10 lbs</t>
  </si>
  <si>
    <t>FRANCISCO CANCUN</t>
  </si>
  <si>
    <t>ALBERTO CHALAN</t>
  </si>
  <si>
    <t>Pendiente</t>
  </si>
  <si>
    <t>MK BOXES RUTH GDL</t>
  </si>
  <si>
    <t>PATAGONIA CAJA CARTON y 30 lbs</t>
  </si>
  <si>
    <t>EDUARDO VACA TRANSPORTE</t>
  </si>
  <si>
    <t>8 PERSONAS O MAS</t>
  </si>
  <si>
    <t>7 PERSONAS</t>
  </si>
  <si>
    <t>5 A 6 PERSONAS</t>
  </si>
  <si>
    <t>4 PERSONAS</t>
  </si>
  <si>
    <t>Semana del 11 al 16 Mayo</t>
  </si>
  <si>
    <t>Proberry 80/20 Julio caja 20 lbs</t>
  </si>
  <si>
    <t>Pago Luinni</t>
  </si>
  <si>
    <t>CODICE ETIQUETAS</t>
  </si>
  <si>
    <t>GASTOS</t>
  </si>
  <si>
    <t>ARTURO "PIÑA"</t>
  </si>
  <si>
    <t>EDUARDO AGUIRRE</t>
  </si>
  <si>
    <t>Factura</t>
  </si>
  <si>
    <t>LAR DEBITO</t>
  </si>
  <si>
    <t>OZ</t>
  </si>
  <si>
    <t>MONA</t>
  </si>
  <si>
    <t>LAR DEBITO F</t>
  </si>
  <si>
    <t>BATAS, DIESEL, HOMEDEPOT</t>
  </si>
  <si>
    <t>IMPUESTOS LAR FEBRERO</t>
  </si>
  <si>
    <t>Semana del 18 AL 23 Mayo</t>
  </si>
  <si>
    <t>NOMINA JACONA Y OCUMICHO SABADO</t>
  </si>
  <si>
    <t>Crumble Luis Glez</t>
  </si>
  <si>
    <t>NOMINA JACONA Y OCUMICHO MIERCOLES</t>
  </si>
  <si>
    <t>Cubeta Crumble Aguscalientes</t>
  </si>
  <si>
    <t>Picos Fruta</t>
  </si>
  <si>
    <t>Zarzamora</t>
  </si>
  <si>
    <t>RAISA EFECTIVO</t>
  </si>
  <si>
    <t>GASTOS GUS</t>
  </si>
  <si>
    <t>CHRISTIAN MANUEL (TAMINAS)</t>
  </si>
  <si>
    <t>LUZ TALLER, Inter, Limpieza y copas</t>
  </si>
  <si>
    <t>DEPACHO GARNICA (Pago Febrero 2026)</t>
  </si>
  <si>
    <t>DIPAC BOLSA CHAVINDA</t>
  </si>
  <si>
    <t>RODOLFO</t>
  </si>
  <si>
    <t>Dipac</t>
  </si>
  <si>
    <t>AYUDANTE RODOLFO</t>
  </si>
  <si>
    <t>EMBAPACK Bolsa TRNASPARENTE</t>
  </si>
  <si>
    <t>EMBAPACK Bolsa AZUL)</t>
  </si>
  <si>
    <t>LAR PAGOS</t>
  </si>
  <si>
    <t>CONTADOR</t>
  </si>
  <si>
    <t>LAR seguro aveo</t>
  </si>
  <si>
    <t>GABY</t>
  </si>
  <si>
    <t>NOMINA</t>
  </si>
  <si>
    <t>CONSEGUIR FACTURA</t>
  </si>
  <si>
    <t>STEREN NEBULIZADORES</t>
  </si>
  <si>
    <t>IMPUESTOS LAR</t>
  </si>
  <si>
    <t>CIPSA (Control de Plagas)</t>
  </si>
  <si>
    <t>EMBAPACK Bolsa AZUL y verde</t>
  </si>
  <si>
    <t>JOSE "CARAS" EQUIPO REFRIGERACION</t>
  </si>
  <si>
    <t>FACTURAS</t>
  </si>
  <si>
    <t>MANTENIMIENTO DE INSTALACIONES</t>
  </si>
  <si>
    <t>REPARACION DE SUSPENSIÓN DE CAMIONETA FORD</t>
  </si>
  <si>
    <t>REPARACION DE MOTOR DE CAMIONETA</t>
  </si>
  <si>
    <t>MANTENIMIENTO DE ELECTRICO</t>
  </si>
  <si>
    <t>SERVICIO Y FRENOS CAMIONETA MAZDA</t>
  </si>
  <si>
    <t>SERVICIO Y FRENOS AUTOMOVIL AVEO</t>
  </si>
  <si>
    <t>Honorarios</t>
  </si>
  <si>
    <t>Unidad</t>
  </si>
  <si>
    <t>P.Unitario</t>
  </si>
  <si>
    <t xml:space="preserve">Caja de Carton de 30 lbs </t>
  </si>
  <si>
    <t>pzas</t>
  </si>
  <si>
    <t>Caja de Carton de 20 lbs</t>
  </si>
  <si>
    <t>Caja de Carton de 10 lbs</t>
  </si>
  <si>
    <t>Rollo emplaye de Plastico</t>
  </si>
  <si>
    <t>Tarima de Madera</t>
  </si>
  <si>
    <t>TOTAL FACTURAS YA NETO</t>
  </si>
  <si>
    <t>Semana</t>
  </si>
  <si>
    <t>Concepto</t>
  </si>
  <si>
    <t>Categoría</t>
  </si>
  <si>
    <t>Pago</t>
  </si>
  <si>
    <t>10-15 NOV</t>
  </si>
  <si>
    <t>Nómina/Personal</t>
  </si>
  <si>
    <t>Producto/Fruta</t>
  </si>
  <si>
    <t>Otros</t>
  </si>
  <si>
    <t>17-22 NOV</t>
  </si>
  <si>
    <t>24-29 NOV</t>
  </si>
  <si>
    <t>Impuestos</t>
  </si>
  <si>
    <t>01-06 Dic</t>
  </si>
  <si>
    <t>08-13 Dic</t>
  </si>
  <si>
    <t>15-20 Dic</t>
  </si>
  <si>
    <t>21-27 Dic</t>
  </si>
  <si>
    <t>29 Dic 03 Ene</t>
  </si>
  <si>
    <t>05 10 Ene</t>
  </si>
  <si>
    <t>11 17 Ene</t>
  </si>
  <si>
    <t>LAR/Otros</t>
  </si>
  <si>
    <t>19 24 Ene</t>
  </si>
  <si>
    <t>26 31 Ene</t>
  </si>
  <si>
    <t>01 07 Feb</t>
  </si>
  <si>
    <t>09 14 Feb</t>
  </si>
  <si>
    <t>16 21 Feb</t>
  </si>
  <si>
    <t>23 28 Feb</t>
  </si>
  <si>
    <t>02 07 Mar</t>
  </si>
  <si>
    <t>ETIQUETAS</t>
  </si>
  <si>
    <t>09-14 Mar</t>
  </si>
  <si>
    <t>16 21 Mar</t>
  </si>
  <si>
    <t>23 28 Mar</t>
  </si>
  <si>
    <t>30 Mar 04 Abril</t>
  </si>
  <si>
    <t>06 11 Abril</t>
  </si>
  <si>
    <t>13 18 Abril</t>
  </si>
  <si>
    <t>20 25 Abril</t>
  </si>
  <si>
    <t>27 Abril 02 Mayo</t>
  </si>
  <si>
    <t>04 09 Mayo</t>
  </si>
  <si>
    <t>11 16 Mayo</t>
  </si>
  <si>
    <t>18 23 Mayo</t>
  </si>
  <si>
    <t>25 30 Mayo</t>
  </si>
  <si>
    <t>Total</t>
  </si>
  <si>
    <t>Orden</t>
  </si>
  <si>
    <t>Periodo</t>
  </si>
  <si>
    <t>01 10-15 NOV</t>
  </si>
  <si>
    <t>02 17-22 NOV</t>
  </si>
  <si>
    <t>03 24-29 NOV</t>
  </si>
  <si>
    <t>04 01-06 Dic</t>
  </si>
  <si>
    <t>05 08-13 Dic</t>
  </si>
  <si>
    <t>06 15-20 Dic</t>
  </si>
  <si>
    <t>07 21-27 Dic</t>
  </si>
  <si>
    <t>08 29 Dic 03 Ene</t>
  </si>
  <si>
    <t>09 05 10 Ene</t>
  </si>
  <si>
    <t>10 11 17 Ene</t>
  </si>
  <si>
    <t>11 19 24 Ene</t>
  </si>
  <si>
    <t>12 26 31 Ene</t>
  </si>
  <si>
    <t>13 01 07 Feb</t>
  </si>
  <si>
    <t>14 09 14 Feb</t>
  </si>
  <si>
    <t>15 16 21 Feb</t>
  </si>
  <si>
    <t>16 23 28 Feb</t>
  </si>
  <si>
    <t>17 02 07 Mar</t>
  </si>
  <si>
    <t>18 09-14 Mar</t>
  </si>
  <si>
    <t>19 16 21 Mar</t>
  </si>
  <si>
    <t>20 23 28 Mar</t>
  </si>
  <si>
    <t>21 30 Mar 04 Abril</t>
  </si>
  <si>
    <t>22 06 11 Abril</t>
  </si>
  <si>
    <t>23 13 18 Abril</t>
  </si>
  <si>
    <t>24 20 25 Abril</t>
  </si>
  <si>
    <t>25 27 Abril 02 Mayo</t>
  </si>
  <si>
    <t>26 04 09 Mayo</t>
  </si>
  <si>
    <t>27 11 16 Mayo</t>
  </si>
  <si>
    <t>28 18 23 Mayo</t>
  </si>
  <si>
    <t>29 25 30 Mayo</t>
  </si>
  <si>
    <t>Total general</t>
  </si>
  <si>
    <t>Suma de Pago</t>
  </si>
  <si>
    <t>Suma de Pendiente</t>
  </si>
  <si>
    <t>Top Concepto</t>
  </si>
  <si>
    <t>TABLERO DE GASTOS — FV (Nov 2025 a May 2026)</t>
  </si>
  <si>
    <t>Total Pagado</t>
  </si>
  <si>
    <t>Total Pendiente</t>
  </si>
  <si>
    <t>Movimientos</t>
  </si>
  <si>
    <t>Semanas</t>
  </si>
  <si>
    <t>Prom. pagado/semana</t>
  </si>
  <si>
    <t>◄ Filtros interactivos</t>
  </si>
  <si>
    <t>GASTOS DE LA SEMANA</t>
  </si>
  <si>
    <t>CONCEPTO</t>
  </si>
  <si>
    <t>Servicios</t>
  </si>
  <si>
    <t>Empaque/Material</t>
  </si>
  <si>
    <t>Ingresos</t>
  </si>
  <si>
    <t>Egresos</t>
  </si>
  <si>
    <t>Pagado</t>
  </si>
  <si>
    <t>TOTAL</t>
  </si>
  <si>
    <t>Ingresos totales</t>
  </si>
  <si>
    <t>Egresos totales</t>
  </si>
  <si>
    <t>OTROS GASTOS</t>
  </si>
  <si>
    <t>CÁLCULOS</t>
  </si>
  <si>
    <t>TENENCIA</t>
  </si>
  <si>
    <t>NOTAS / PENDIENTES</t>
  </si>
  <si>
    <t>Mes</t>
  </si>
  <si>
    <t>2-Dic</t>
  </si>
  <si>
    <t>3-Ene</t>
  </si>
  <si>
    <t>6-Abr</t>
  </si>
  <si>
    <t>Balance</t>
  </si>
  <si>
    <t>1-Nov</t>
  </si>
  <si>
    <t>4-Feb</t>
  </si>
  <si>
    <t>5-Mar</t>
  </si>
  <si>
    <t>7-May</t>
  </si>
  <si>
    <t>RESUMEN MENSUAL</t>
  </si>
  <si>
    <t>RESUMEN — Nov 25</t>
  </si>
  <si>
    <t>Balance (Ing−Pag−Eg)</t>
  </si>
  <si>
    <t>RESUMEN — Dic 25</t>
  </si>
  <si>
    <t>RESUMEN — Ene 26</t>
  </si>
  <si>
    <t>RESUMEN — Feb 26</t>
  </si>
  <si>
    <t>RESUMEN — Mar 26</t>
  </si>
  <si>
    <t>RESUMEN — Abr 26</t>
  </si>
  <si>
    <t>RESUMEN — May 26</t>
  </si>
  <si>
    <t>MÉTRICAS MENSUALES — Pagado vs Pendiente y Gasto por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</si>
</sst>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[Red]\-#,##0.00\ "/>
    <numFmt numFmtId="165" formatCode="0.0000000000"/>
    <numFmt numFmtId="166" formatCode="0.000000000000000000"/>
    <numFmt numFmtId="167" formatCode="&quot;$&quot;#,##0;\(&quot;$&quot;#,##0\);&quot;-&quot;"/>
    <numFmt numFmtId="168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1F4E7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5"/>
      <color rgb="FF1F4E78"/>
      <name val="Calibri"/>
      <family val="2"/>
      <scheme val="minor"/>
    </font>
    <font>
      <b/>
      <sz val="15"/>
      <color rgb="FF375623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2CC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/>
      <top style="thin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9DC3E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DC3E6"/>
      </left>
      <right style="thin">
        <color rgb="FFBFBFBF"/>
      </right>
      <top style="thin">
        <color rgb="FFBFBFBF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 style="thin">
        <color rgb="FFBFBFBF"/>
      </left>
      <right style="thin">
        <color rgb="FF9DC3E6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9DC3E6"/>
      </right>
      <top style="thin">
        <color rgb="FFBFBFBF"/>
      </top>
      <bottom style="thin">
        <color rgb="FF9DC3E6"/>
      </bottom>
      <diagonal/>
    </border>
    <border>
      <left style="thin">
        <color auto="1"/>
      </left>
      <right/>
      <top/>
      <bottom style="thin">
        <color rgb="FFD9D9D9"/>
      </bottom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rgb="FF9DC3E6"/>
      </left>
      <right/>
      <top style="thin">
        <color rgb="FF9DC3E6"/>
      </top>
      <bottom style="thin">
        <color rgb="FFD9D9D9"/>
      </bottom>
      <diagonal/>
    </border>
    <border>
      <left style="thin">
        <color rgb="FF9DC3E6"/>
      </left>
      <right/>
      <top style="thin">
        <color rgb="FFD9D9D9"/>
      </top>
      <bottom style="thin">
        <color rgb="FFD9D9D9"/>
      </bottom>
      <diagonal/>
    </border>
    <border>
      <left style="thin">
        <color rgb="FF9DC3E6"/>
      </left>
      <right/>
      <top style="thin">
        <color rgb="FFD9D9D9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D9D9D9"/>
      </bottom>
      <diagonal/>
    </border>
    <border>
      <left/>
      <right style="thin">
        <color rgb="FF9DC3E6"/>
      </right>
      <top style="thin">
        <color rgb="FFD9D9D9"/>
      </top>
      <bottom style="thin">
        <color rgb="FFD9D9D9"/>
      </bottom>
      <diagonal/>
    </border>
    <border>
      <left/>
      <right style="thin">
        <color rgb="FF9DC3E6"/>
      </right>
      <top style="thin">
        <color rgb="FFD9D9D9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/>
      <top style="thin">
        <color rgb="FFD9D9D9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/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 style="thin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6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43" fontId="2" fillId="2" borderId="0" xfId="1" applyFont="1" applyFill="1"/>
    <xf numFmtId="43" fontId="0" fillId="2" borderId="0" xfId="1" applyFont="1" applyFill="1"/>
    <xf numFmtId="43" fontId="2" fillId="0" borderId="0" xfId="0" applyNumberFormat="1" applyFont="1"/>
    <xf numFmtId="43" fontId="0" fillId="3" borderId="0" xfId="1" applyFont="1" applyFill="1"/>
    <xf numFmtId="43" fontId="0" fillId="0" borderId="0" xfId="1" applyFont="1" applyFill="1"/>
    <xf numFmtId="4" fontId="0" fillId="4" borderId="0" xfId="0" applyNumberFormat="1" applyFill="1"/>
    <xf numFmtId="43" fontId="0" fillId="4" borderId="0" xfId="1" applyFont="1" applyFill="1"/>
    <xf numFmtId="164" fontId="2" fillId="0" borderId="0" xfId="1" applyNumberFormat="1" applyFont="1"/>
    <xf numFmtId="164" fontId="2" fillId="0" borderId="0" xfId="0" applyNumberFormat="1" applyFont="1"/>
    <xf numFmtId="0" fontId="2" fillId="5" borderId="0" xfId="0" applyFont="1" applyFill="1"/>
    <xf numFmtId="43" fontId="2" fillId="5" borderId="0" xfId="1" applyFont="1" applyFill="1"/>
    <xf numFmtId="44" fontId="2" fillId="0" borderId="0" xfId="2" applyFont="1"/>
    <xf numFmtId="43" fontId="0" fillId="6" borderId="0" xfId="1" applyFont="1" applyFill="1"/>
    <xf numFmtId="43" fontId="3" fillId="0" borderId="0" xfId="1" applyFont="1"/>
    <xf numFmtId="8" fontId="0" fillId="0" borderId="0" xfId="0" applyNumberFormat="1" applyAlignment="1">
      <alignment vertical="center"/>
    </xf>
    <xf numFmtId="8" fontId="2" fillId="0" borderId="0" xfId="1" applyNumberFormat="1" applyFont="1"/>
    <xf numFmtId="8" fontId="2" fillId="7" borderId="0" xfId="0" applyNumberFormat="1" applyFont="1" applyFill="1"/>
    <xf numFmtId="8" fontId="0" fillId="0" borderId="0" xfId="1" applyNumberFormat="1" applyFont="1"/>
    <xf numFmtId="44" fontId="2" fillId="0" borderId="0" xfId="2" applyFont="1" applyFill="1"/>
    <xf numFmtId="8" fontId="2" fillId="0" borderId="0" xfId="1" applyNumberFormat="1" applyFont="1" applyFill="1"/>
    <xf numFmtId="43" fontId="2" fillId="0" borderId="0" xfId="1" applyFont="1" applyFill="1"/>
    <xf numFmtId="8" fontId="2" fillId="0" borderId="0" xfId="0" applyNumberFormat="1" applyFont="1"/>
    <xf numFmtId="8" fontId="0" fillId="0" borderId="0" xfId="1" applyNumberFormat="1" applyFont="1" applyFill="1"/>
    <xf numFmtId="164" fontId="4" fillId="0" borderId="0" xfId="1" applyNumberFormat="1" applyFont="1"/>
    <xf numFmtId="4" fontId="0" fillId="0" borderId="0" xfId="0" applyNumberFormat="1"/>
    <xf numFmtId="43" fontId="2" fillId="0" borderId="0" xfId="1" applyFont="1" applyAlignment="1">
      <alignment horizontal="center"/>
    </xf>
    <xf numFmtId="44" fontId="2" fillId="6" borderId="0" xfId="2" applyFont="1" applyFill="1"/>
    <xf numFmtId="44" fontId="2" fillId="9" borderId="0" xfId="2" applyFont="1" applyFill="1"/>
    <xf numFmtId="44" fontId="4" fillId="2" borderId="0" xfId="2" applyFont="1" applyFill="1"/>
    <xf numFmtId="43" fontId="5" fillId="0" borderId="0" xfId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43" fontId="4" fillId="0" borderId="0" xfId="1" applyFont="1" applyFill="1" applyAlignment="1">
      <alignment horizontal="center"/>
    </xf>
    <xf numFmtId="164" fontId="0" fillId="0" borderId="0" xfId="1" applyNumberFormat="1" applyFont="1" applyFill="1"/>
    <xf numFmtId="43" fontId="0" fillId="12" borderId="0" xfId="1" applyFont="1" applyFill="1"/>
    <xf numFmtId="43" fontId="0" fillId="0" borderId="0" xfId="0" applyNumberFormat="1"/>
    <xf numFmtId="14" fontId="0" fillId="0" borderId="0" xfId="0" applyNumberFormat="1"/>
    <xf numFmtId="14" fontId="0" fillId="0" borderId="0" xfId="1" applyNumberFormat="1" applyFont="1"/>
    <xf numFmtId="44" fontId="0" fillId="0" borderId="0" xfId="2" applyFont="1"/>
    <xf numFmtId="43" fontId="1" fillId="0" borderId="0" xfId="1" applyFont="1"/>
    <xf numFmtId="14" fontId="0" fillId="4" borderId="0" xfId="1" applyNumberFormat="1" applyFont="1" applyFill="1"/>
    <xf numFmtId="164" fontId="0" fillId="0" borderId="1" xfId="1" applyNumberFormat="1" applyFont="1" applyBorder="1"/>
    <xf numFmtId="164" fontId="0" fillId="2" borderId="2" xfId="1" applyNumberFormat="1" applyFont="1" applyFill="1" applyBorder="1"/>
    <xf numFmtId="164" fontId="0" fillId="0" borderId="3" xfId="0" applyNumberFormat="1" applyBorder="1"/>
    <xf numFmtId="164" fontId="0" fillId="0" borderId="4" xfId="1" applyNumberFormat="1" applyFont="1" applyBorder="1"/>
    <xf numFmtId="164" fontId="0" fillId="0" borderId="0" xfId="1" applyNumberFormat="1" applyFont="1" applyBorder="1"/>
    <xf numFmtId="164" fontId="0" fillId="0" borderId="5" xfId="0" applyNumberFormat="1" applyBorder="1"/>
    <xf numFmtId="164" fontId="0" fillId="0" borderId="5" xfId="1" applyNumberFormat="1" applyFont="1" applyBorder="1"/>
    <xf numFmtId="164" fontId="0" fillId="0" borderId="0" xfId="1" applyNumberFormat="1" applyFont="1" applyFill="1" applyBorder="1"/>
    <xf numFmtId="43" fontId="3" fillId="0" borderId="5" xfId="1" applyFont="1" applyBorder="1"/>
    <xf numFmtId="14" fontId="0" fillId="13" borderId="0" xfId="1" applyNumberFormat="1" applyFont="1" applyFill="1"/>
    <xf numFmtId="167" fontId="0" fillId="0" borderId="0" xfId="0" applyNumberFormat="1"/>
    <xf numFmtId="0" fontId="0" fillId="15" borderId="0" xfId="0" applyFill="1"/>
    <xf numFmtId="0" fontId="8" fillId="15" borderId="0" xfId="0" applyFont="1" applyFill="1"/>
    <xf numFmtId="0" fontId="9" fillId="15" borderId="0" xfId="0" applyFont="1" applyFill="1" applyAlignment="1">
      <alignment horizontal="center"/>
    </xf>
    <xf numFmtId="0" fontId="0" fillId="0" borderId="0" xfId="0" pivotButton="1"/>
    <xf numFmtId="168" fontId="0" fillId="0" borderId="0" xfId="0" applyNumberFormat="1"/>
    <xf numFmtId="0" fontId="10" fillId="0" borderId="0" xfId="0" applyFont="1"/>
    <xf numFmtId="0" fontId="11" fillId="0" borderId="0" xfId="0" applyFont="1"/>
    <xf numFmtId="43" fontId="0" fillId="0" borderId="7" xfId="1" applyFont="1" applyBorder="1"/>
    <xf numFmtId="0" fontId="0" fillId="0" borderId="7" xfId="0" applyBorder="1"/>
    <xf numFmtId="43" fontId="0" fillId="6" borderId="7" xfId="1" applyFont="1" applyFill="1" applyBorder="1"/>
    <xf numFmtId="44" fontId="2" fillId="0" borderId="7" xfId="2" applyFont="1" applyBorder="1"/>
    <xf numFmtId="0" fontId="12" fillId="17" borderId="7" xfId="0" applyFont="1" applyFill="1" applyBorder="1"/>
    <xf numFmtId="43" fontId="0" fillId="17" borderId="7" xfId="1" applyFont="1" applyFill="1" applyBorder="1"/>
    <xf numFmtId="0" fontId="0" fillId="17" borderId="7" xfId="0" applyFill="1" applyBorder="1"/>
    <xf numFmtId="44" fontId="2" fillId="17" borderId="7" xfId="2" applyFont="1" applyFill="1" applyBorder="1"/>
    <xf numFmtId="43" fontId="0" fillId="0" borderId="7" xfId="1" applyFont="1" applyFill="1" applyBorder="1"/>
    <xf numFmtId="0" fontId="0" fillId="0" borderId="7" xfId="0" applyBorder="1" applyAlignment="1">
      <alignment vertical="center"/>
    </xf>
    <xf numFmtId="8" fontId="0" fillId="0" borderId="7" xfId="0" applyNumberFormat="1" applyBorder="1" applyAlignment="1">
      <alignment vertical="center"/>
    </xf>
    <xf numFmtId="8" fontId="2" fillId="0" borderId="7" xfId="1" applyNumberFormat="1" applyFont="1" applyBorder="1"/>
    <xf numFmtId="43" fontId="2" fillId="0" borderId="7" xfId="1" applyFont="1" applyBorder="1"/>
    <xf numFmtId="0" fontId="0" fillId="17" borderId="7" xfId="0" applyFill="1" applyBorder="1" applyAlignment="1">
      <alignment vertical="center"/>
    </xf>
    <xf numFmtId="8" fontId="0" fillId="17" borderId="7" xfId="0" applyNumberFormat="1" applyFill="1" applyBorder="1" applyAlignment="1">
      <alignment vertical="center"/>
    </xf>
    <xf numFmtId="43" fontId="0" fillId="0" borderId="6" xfId="1" applyFont="1" applyBorder="1"/>
    <xf numFmtId="8" fontId="2" fillId="17" borderId="7" xfId="1" applyNumberFormat="1" applyFont="1" applyFill="1" applyBorder="1"/>
    <xf numFmtId="43" fontId="2" fillId="17" borderId="7" xfId="1" applyFont="1" applyFill="1" applyBorder="1"/>
    <xf numFmtId="43" fontId="4" fillId="17" borderId="7" xfId="1" applyFont="1" applyFill="1" applyBorder="1" applyAlignment="1">
      <alignment horizontal="center"/>
    </xf>
    <xf numFmtId="0" fontId="0" fillId="8" borderId="7" xfId="0" applyFill="1" applyBorder="1"/>
    <xf numFmtId="43" fontId="0" fillId="10" borderId="7" xfId="1" applyFont="1" applyFill="1" applyBorder="1"/>
    <xf numFmtId="0" fontId="2" fillId="0" borderId="7" xfId="0" applyFont="1" applyBorder="1"/>
    <xf numFmtId="43" fontId="0" fillId="0" borderId="6" xfId="1" applyFont="1" applyFill="1" applyBorder="1"/>
    <xf numFmtId="0" fontId="2" fillId="17" borderId="7" xfId="0" applyFont="1" applyFill="1" applyBorder="1"/>
    <xf numFmtId="164" fontId="0" fillId="0" borderId="7" xfId="1" applyNumberFormat="1" applyFont="1" applyBorder="1"/>
    <xf numFmtId="43" fontId="0" fillId="9" borderId="7" xfId="1" applyFont="1" applyFill="1" applyBorder="1"/>
    <xf numFmtId="43" fontId="0" fillId="12" borderId="7" xfId="1" applyFont="1" applyFill="1" applyBorder="1"/>
    <xf numFmtId="164" fontId="0" fillId="17" borderId="7" xfId="1" applyNumberFormat="1" applyFont="1" applyFill="1" applyBorder="1"/>
    <xf numFmtId="43" fontId="0" fillId="2" borderId="7" xfId="1" applyFont="1" applyFill="1" applyBorder="1"/>
    <xf numFmtId="0" fontId="0" fillId="11" borderId="7" xfId="0" applyFill="1" applyBorder="1"/>
    <xf numFmtId="43" fontId="0" fillId="13" borderId="7" xfId="1" applyFont="1" applyFill="1" applyBorder="1"/>
    <xf numFmtId="0" fontId="0" fillId="9" borderId="7" xfId="0" applyFill="1" applyBorder="1"/>
    <xf numFmtId="0" fontId="0" fillId="13" borderId="7" xfId="0" applyFill="1" applyBorder="1"/>
    <xf numFmtId="0" fontId="0" fillId="7" borderId="7" xfId="0" applyFill="1" applyBorder="1"/>
    <xf numFmtId="43" fontId="0" fillId="17" borderId="6" xfId="1" applyFont="1" applyFill="1" applyBorder="1"/>
    <xf numFmtId="43" fontId="0" fillId="6" borderId="6" xfId="1" applyFont="1" applyFill="1" applyBorder="1"/>
    <xf numFmtId="44" fontId="2" fillId="0" borderId="6" xfId="2" applyFont="1" applyBorder="1"/>
    <xf numFmtId="44" fontId="2" fillId="17" borderId="6" xfId="2" applyFont="1" applyFill="1" applyBorder="1"/>
    <xf numFmtId="0" fontId="0" fillId="17" borderId="6" xfId="0" applyFill="1" applyBorder="1"/>
    <xf numFmtId="43" fontId="4" fillId="17" borderId="6" xfId="1" applyFont="1" applyFill="1" applyBorder="1" applyAlignment="1">
      <alignment horizontal="center"/>
    </xf>
    <xf numFmtId="4" fontId="0" fillId="0" borderId="6" xfId="0" applyNumberFormat="1" applyBorder="1"/>
    <xf numFmtId="44" fontId="2" fillId="9" borderId="6" xfId="2" applyFont="1" applyFill="1" applyBorder="1"/>
    <xf numFmtId="43" fontId="0" fillId="11" borderId="6" xfId="1" applyFont="1" applyFill="1" applyBorder="1"/>
    <xf numFmtId="43" fontId="0" fillId="12" borderId="6" xfId="1" applyFont="1" applyFill="1" applyBorder="1"/>
    <xf numFmtId="43" fontId="0" fillId="2" borderId="6" xfId="1" applyFont="1" applyFill="1" applyBorder="1"/>
    <xf numFmtId="43" fontId="0" fillId="7" borderId="6" xfId="1" applyFont="1" applyFill="1" applyBorder="1"/>
    <xf numFmtId="43" fontId="0" fillId="13" borderId="6" xfId="1" applyFont="1" applyFill="1" applyBorder="1"/>
    <xf numFmtId="43" fontId="0" fillId="4" borderId="6" xfId="1" applyFont="1" applyFill="1" applyBorder="1"/>
    <xf numFmtId="43" fontId="0" fillId="14" borderId="6" xfId="1" applyFont="1" applyFill="1" applyBorder="1"/>
    <xf numFmtId="164" fontId="0" fillId="17" borderId="6" xfId="1" applyNumberFormat="1" applyFont="1" applyFill="1" applyBorder="1"/>
    <xf numFmtId="164" fontId="0" fillId="0" borderId="6" xfId="1" applyNumberFormat="1" applyFont="1" applyBorder="1"/>
    <xf numFmtId="0" fontId="13" fillId="15" borderId="0" xfId="0" applyFont="1" applyFill="1"/>
    <xf numFmtId="0" fontId="9" fillId="18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168" fontId="15" fillId="16" borderId="8" xfId="0" applyNumberFormat="1" applyFont="1" applyFill="1" applyBorder="1" applyAlignment="1">
      <alignment horizontal="center"/>
    </xf>
    <xf numFmtId="3" fontId="15" fillId="16" borderId="8" xfId="0" applyNumberFormat="1" applyFont="1" applyFill="1" applyBorder="1" applyAlignment="1">
      <alignment horizontal="center"/>
    </xf>
    <xf numFmtId="168" fontId="2" fillId="0" borderId="0" xfId="0" applyNumberFormat="1" applyFont="1"/>
    <xf numFmtId="43" fontId="0" fillId="0" borderId="0" xfId="1" applyFont="1" applyBorder="1"/>
    <xf numFmtId="43" fontId="9" fillId="19" borderId="9" xfId="1" applyFont="1" applyFill="1" applyBorder="1"/>
    <xf numFmtId="43" fontId="0" fillId="0" borderId="11" xfId="1" applyFont="1" applyBorder="1"/>
    <xf numFmtId="168" fontId="0" fillId="0" borderId="10" xfId="1" applyNumberFormat="1" applyFont="1" applyBorder="1"/>
    <xf numFmtId="168" fontId="0" fillId="0" borderId="12" xfId="1" applyNumberFormat="1" applyFont="1" applyBorder="1"/>
    <xf numFmtId="43" fontId="2" fillId="20" borderId="13" xfId="1" applyFont="1" applyFill="1" applyBorder="1"/>
    <xf numFmtId="168" fontId="2" fillId="20" borderId="14" xfId="2" applyNumberFormat="1" applyFont="1" applyFill="1" applyBorder="1"/>
    <xf numFmtId="43" fontId="2" fillId="0" borderId="0" xfId="1" applyFont="1" applyBorder="1"/>
    <xf numFmtId="0" fontId="9" fillId="21" borderId="9" xfId="0" applyFont="1" applyFill="1" applyBorder="1"/>
    <xf numFmtId="0" fontId="0" fillId="0" borderId="11" xfId="0" applyBorder="1"/>
    <xf numFmtId="0" fontId="2" fillId="22" borderId="13" xfId="0" applyFont="1" applyFill="1" applyBorder="1"/>
    <xf numFmtId="168" fontId="2" fillId="22" borderId="14" xfId="1" applyNumberFormat="1" applyFont="1" applyFill="1" applyBorder="1"/>
    <xf numFmtId="43" fontId="9" fillId="21" borderId="9" xfId="1" applyFont="1" applyFill="1" applyBorder="1"/>
    <xf numFmtId="43" fontId="2" fillId="22" borderId="13" xfId="1" applyFont="1" applyFill="1" applyBorder="1"/>
    <xf numFmtId="168" fontId="0" fillId="4" borderId="10" xfId="1" applyNumberFormat="1" applyFont="1" applyFill="1" applyBorder="1"/>
    <xf numFmtId="168" fontId="2" fillId="0" borderId="12" xfId="1" applyNumberFormat="1" applyFont="1" applyBorder="1"/>
    <xf numFmtId="168" fontId="1" fillId="0" borderId="12" xfId="1" applyNumberFormat="1" applyFont="1" applyBorder="1"/>
    <xf numFmtId="0" fontId="14" fillId="19" borderId="0" xfId="0" applyFont="1" applyFill="1" applyAlignment="1">
      <alignment horizontal="center"/>
    </xf>
    <xf numFmtId="168" fontId="16" fillId="20" borderId="0" xfId="0" applyNumberFormat="1" applyFont="1" applyFill="1" applyAlignment="1">
      <alignment horizontal="center"/>
    </xf>
    <xf numFmtId="0" fontId="0" fillId="17" borderId="15" xfId="0" applyFill="1" applyBorder="1"/>
    <xf numFmtId="43" fontId="0" fillId="17" borderId="15" xfId="1" applyFont="1" applyFill="1" applyBorder="1"/>
    <xf numFmtId="43" fontId="0" fillId="17" borderId="16" xfId="1" applyFont="1" applyFill="1" applyBorder="1"/>
    <xf numFmtId="0" fontId="9" fillId="18" borderId="17" xfId="0" applyFont="1" applyFill="1" applyBorder="1" applyAlignment="1">
      <alignment horizontal="center"/>
    </xf>
    <xf numFmtId="44" fontId="2" fillId="0" borderId="18" xfId="2" applyFont="1" applyBorder="1"/>
    <xf numFmtId="0" fontId="9" fillId="18" borderId="19" xfId="0" applyFont="1" applyFill="1" applyBorder="1" applyAlignment="1">
      <alignment horizontal="center"/>
    </xf>
    <xf numFmtId="0" fontId="12" fillId="17" borderId="20" xfId="0" applyFont="1" applyFill="1" applyBorder="1"/>
    <xf numFmtId="0" fontId="0" fillId="0" borderId="20" xfId="0" applyBorder="1"/>
    <xf numFmtId="0" fontId="0" fillId="17" borderId="20" xfId="0" applyFill="1" applyBorder="1"/>
    <xf numFmtId="43" fontId="0" fillId="0" borderId="20" xfId="1" applyFont="1" applyBorder="1"/>
    <xf numFmtId="43" fontId="0" fillId="17" borderId="20" xfId="1" applyFont="1" applyFill="1" applyBorder="1"/>
    <xf numFmtId="0" fontId="0" fillId="0" borderId="21" xfId="0" applyBorder="1"/>
    <xf numFmtId="0" fontId="9" fillId="18" borderId="22" xfId="0" applyFont="1" applyFill="1" applyBorder="1" applyAlignment="1">
      <alignment horizontal="center"/>
    </xf>
    <xf numFmtId="43" fontId="0" fillId="17" borderId="23" xfId="1" applyFont="1" applyFill="1" applyBorder="1"/>
    <xf numFmtId="43" fontId="0" fillId="0" borderId="23" xfId="1" applyFont="1" applyFill="1" applyBorder="1"/>
    <xf numFmtId="43" fontId="0" fillId="0" borderId="23" xfId="1" applyFont="1" applyBorder="1"/>
    <xf numFmtId="44" fontId="2" fillId="0" borderId="24" xfId="2" applyFont="1" applyBorder="1"/>
    <xf numFmtId="43" fontId="0" fillId="0" borderId="25" xfId="1" applyFont="1" applyBorder="1"/>
    <xf numFmtId="168" fontId="0" fillId="0" borderId="26" xfId="1" applyNumberFormat="1" applyFont="1" applyBorder="1"/>
    <xf numFmtId="43" fontId="9" fillId="19" borderId="27" xfId="1" applyFont="1" applyFill="1" applyBorder="1"/>
    <xf numFmtId="43" fontId="0" fillId="0" borderId="28" xfId="1" applyFont="1" applyBorder="1"/>
    <xf numFmtId="43" fontId="0" fillId="0" borderId="29" xfId="1" applyFont="1" applyBorder="1"/>
    <xf numFmtId="168" fontId="0" fillId="0" borderId="30" xfId="1" applyNumberFormat="1" applyFont="1" applyBorder="1"/>
    <xf numFmtId="168" fontId="0" fillId="0" borderId="31" xfId="1" applyNumberFormat="1" applyFont="1" applyBorder="1"/>
    <xf numFmtId="168" fontId="0" fillId="0" borderId="32" xfId="1" applyNumberFormat="1" applyFont="1" applyBorder="1"/>
    <xf numFmtId="0" fontId="9" fillId="21" borderId="27" xfId="0" applyFont="1" applyFill="1" applyBorder="1"/>
    <xf numFmtId="0" fontId="0" fillId="0" borderId="28" xfId="0" applyBorder="1"/>
    <xf numFmtId="0" fontId="2" fillId="22" borderId="29" xfId="0" applyFont="1" applyFill="1" applyBorder="1"/>
    <xf numFmtId="168" fontId="2" fillId="22" borderId="32" xfId="1" applyNumberFormat="1" applyFont="1" applyFill="1" applyBorder="1"/>
    <xf numFmtId="43" fontId="0" fillId="0" borderId="33" xfId="1" applyFont="1" applyBorder="1"/>
    <xf numFmtId="43" fontId="0" fillId="0" borderId="34" xfId="1" applyFont="1" applyBorder="1"/>
    <xf numFmtId="43" fontId="2" fillId="0" borderId="35" xfId="0" applyNumberFormat="1" applyFont="1" applyBorder="1"/>
    <xf numFmtId="0" fontId="0" fillId="0" borderId="36" xfId="0" applyBorder="1"/>
    <xf numFmtId="8" fontId="0" fillId="17" borderId="36" xfId="0" applyNumberFormat="1" applyFill="1" applyBorder="1" applyAlignment="1">
      <alignment vertical="center"/>
    </xf>
    <xf numFmtId="8" fontId="0" fillId="0" borderId="36" xfId="0" applyNumberFormat="1" applyBorder="1" applyAlignment="1">
      <alignment vertical="center"/>
    </xf>
    <xf numFmtId="8" fontId="2" fillId="17" borderId="36" xfId="1" applyNumberFormat="1" applyFont="1" applyFill="1" applyBorder="1"/>
    <xf numFmtId="43" fontId="0" fillId="17" borderId="37" xfId="1" applyFont="1" applyFill="1" applyBorder="1"/>
    <xf numFmtId="0" fontId="0" fillId="0" borderId="15" xfId="0" applyBorder="1"/>
    <xf numFmtId="43" fontId="0" fillId="0" borderId="15" xfId="1" applyFont="1" applyBorder="1"/>
    <xf numFmtId="43" fontId="0" fillId="17" borderId="36" xfId="1" applyFont="1" applyFill="1" applyBorder="1"/>
    <xf numFmtId="43" fontId="0" fillId="0" borderId="36" xfId="1" applyFont="1" applyBorder="1"/>
    <xf numFmtId="43" fontId="2" fillId="17" borderId="36" xfId="1" applyFont="1" applyFill="1" applyBorder="1"/>
    <xf numFmtId="0" fontId="0" fillId="0" borderId="38" xfId="0" applyBorder="1"/>
    <xf numFmtId="43" fontId="0" fillId="0" borderId="38" xfId="1" applyFont="1" applyBorder="1"/>
    <xf numFmtId="0" fontId="0" fillId="0" borderId="37" xfId="0" applyBorder="1"/>
    <xf numFmtId="43" fontId="0" fillId="0" borderId="37" xfId="1" applyFont="1" applyBorder="1"/>
    <xf numFmtId="43" fontId="0" fillId="0" borderId="39" xfId="1" applyFont="1" applyBorder="1"/>
    <xf numFmtId="43" fontId="2" fillId="5" borderId="0" xfId="1" applyFont="1" applyFill="1" applyBorder="1"/>
    <xf numFmtId="43" fontId="3" fillId="0" borderId="0" xfId="1" applyFont="1" applyBorder="1"/>
    <xf numFmtId="0" fontId="0" fillId="0" borderId="41" xfId="0" applyBorder="1"/>
    <xf numFmtId="43" fontId="3" fillId="0" borderId="41" xfId="1" applyFont="1" applyBorder="1"/>
    <xf numFmtId="43" fontId="0" fillId="0" borderId="41" xfId="1" applyFont="1" applyBorder="1"/>
    <xf numFmtId="0" fontId="0" fillId="0" borderId="42" xfId="0" applyBorder="1"/>
    <xf numFmtId="0" fontId="2" fillId="0" borderId="42" xfId="0" applyFont="1" applyBorder="1"/>
    <xf numFmtId="0" fontId="2" fillId="5" borderId="42" xfId="0" applyFont="1" applyFill="1" applyBorder="1"/>
    <xf numFmtId="0" fontId="0" fillId="0" borderId="16" xfId="0" applyBorder="1"/>
    <xf numFmtId="43" fontId="0" fillId="0" borderId="43" xfId="1" applyFont="1" applyBorder="1"/>
    <xf numFmtId="43" fontId="0" fillId="0" borderId="44" xfId="1" applyFont="1" applyBorder="1"/>
    <xf numFmtId="0" fontId="17" fillId="23" borderId="37" xfId="0" applyFont="1" applyFill="1" applyBorder="1"/>
    <xf numFmtId="43" fontId="17" fillId="24" borderId="39" xfId="1" applyFont="1" applyFill="1" applyBorder="1"/>
    <xf numFmtId="0" fontId="17" fillId="25" borderId="37" xfId="0" applyFont="1" applyFill="1" applyBorder="1"/>
    <xf numFmtId="43" fontId="0" fillId="17" borderId="38" xfId="1" applyFont="1" applyFill="1" applyBorder="1"/>
    <xf numFmtId="0" fontId="17" fillId="23" borderId="38" xfId="0" applyFont="1" applyFill="1" applyBorder="1"/>
    <xf numFmtId="0" fontId="0" fillId="0" borderId="39" xfId="0" applyBorder="1"/>
    <xf numFmtId="43" fontId="0" fillId="0" borderId="45" xfId="1" applyFont="1" applyBorder="1"/>
    <xf numFmtId="43" fontId="2" fillId="0" borderId="44" xfId="1" applyFont="1" applyBorder="1"/>
    <xf numFmtId="0" fontId="17" fillId="23" borderId="0" xfId="0" applyFont="1" applyFill="1"/>
    <xf numFmtId="43" fontId="17" fillId="26" borderId="0" xfId="1" applyFont="1" applyFill="1"/>
    <xf numFmtId="43" fontId="0" fillId="0" borderId="42" xfId="1" applyFont="1" applyBorder="1"/>
    <xf numFmtId="43" fontId="0" fillId="0" borderId="16" xfId="1" applyFont="1" applyBorder="1"/>
    <xf numFmtId="0" fontId="17" fillId="26" borderId="0" xfId="0" applyFont="1" applyFill="1"/>
    <xf numFmtId="168" fontId="0" fillId="0" borderId="47" xfId="1" applyNumberFormat="1" applyFont="1" applyBorder="1"/>
    <xf numFmtId="43" fontId="2" fillId="20" borderId="40" xfId="1" applyFont="1" applyFill="1" applyBorder="1"/>
    <xf numFmtId="168" fontId="2" fillId="20" borderId="48" xfId="2" applyNumberFormat="1" applyFont="1" applyFill="1" applyBorder="1"/>
    <xf numFmtId="44" fontId="4" fillId="2" borderId="43" xfId="2" applyFont="1" applyFill="1" applyBorder="1"/>
    <xf numFmtId="44" fontId="2" fillId="9" borderId="44" xfId="2" applyFont="1" applyFill="1" applyBorder="1"/>
    <xf numFmtId="43" fontId="17" fillId="23" borderId="46" xfId="1" applyFont="1" applyFill="1" applyBorder="1"/>
    <xf numFmtId="43" fontId="0" fillId="0" borderId="49" xfId="1" applyFont="1" applyBorder="1"/>
    <xf numFmtId="43" fontId="17" fillId="23" borderId="0" xfId="1" applyFont="1" applyFill="1"/>
    <xf numFmtId="43" fontId="2" fillId="0" borderId="41" xfId="1" applyFont="1" applyBorder="1"/>
    <xf numFmtId="43" fontId="0" fillId="0" borderId="45" xfId="1" applyFont="1" applyFill="1" applyBorder="1"/>
    <xf numFmtId="43" fontId="2" fillId="0" borderId="44" xfId="0" applyNumberFormat="1" applyFont="1" applyBorder="1"/>
    <xf numFmtId="43" fontId="2" fillId="0" borderId="42" xfId="1" applyFont="1" applyBorder="1"/>
    <xf numFmtId="43" fontId="2" fillId="0" borderId="38" xfId="1" applyFont="1" applyBorder="1"/>
    <xf numFmtId="43" fontId="17" fillId="24" borderId="0" xfId="1" applyFont="1" applyFill="1"/>
    <xf numFmtId="0" fontId="17" fillId="23" borderId="42" xfId="0" applyFont="1" applyFill="1" applyBorder="1"/>
    <xf numFmtId="43" fontId="2" fillId="0" borderId="43" xfId="1" applyFont="1" applyBorder="1"/>
    <xf numFmtId="43" fontId="2" fillId="6" borderId="44" xfId="1" applyFont="1" applyFill="1" applyBorder="1"/>
    <xf numFmtId="43" fontId="0" fillId="0" borderId="37" xfId="1" applyFont="1" applyFill="1" applyBorder="1"/>
    <xf numFmtId="0" fontId="0" fillId="0" borderId="45" xfId="0" applyBorder="1"/>
    <xf numFmtId="0" fontId="0" fillId="0" borderId="43" xfId="0" applyBorder="1"/>
    <xf numFmtId="0" fontId="0" fillId="0" borderId="44" xfId="0" applyBorder="1"/>
    <xf numFmtId="43" fontId="17" fillId="23" borderId="37" xfId="1" applyFont="1" applyFill="1" applyBorder="1"/>
    <xf numFmtId="43" fontId="0" fillId="0" borderId="16" xfId="0" applyNumberFormat="1" applyBorder="1"/>
    <xf numFmtId="43" fontId="0" fillId="0" borderId="44" xfId="0" applyNumberFormat="1" applyBorder="1"/>
    <xf numFmtId="43" fontId="0" fillId="0" borderId="0" xfId="1" applyFont="1" applyFill="1" applyBorder="1"/>
    <xf numFmtId="43" fontId="0" fillId="0" borderId="43" xfId="1" applyFont="1" applyFill="1" applyBorder="1"/>
    <xf numFmtId="164" fontId="0" fillId="0" borderId="44" xfId="1" applyNumberFormat="1" applyFont="1" applyBorder="1"/>
    <xf numFmtId="164" fontId="0" fillId="0" borderId="37" xfId="1" applyNumberFormat="1" applyFont="1" applyBorder="1"/>
    <xf numFmtId="0" fontId="17" fillId="26" borderId="37" xfId="0" applyFont="1" applyFill="1" applyBorder="1"/>
    <xf numFmtId="164" fontId="0" fillId="17" borderId="37" xfId="1" applyNumberFormat="1" applyFont="1" applyFill="1" applyBorder="1"/>
    <xf numFmtId="43" fontId="2" fillId="0" borderId="49" xfId="1" applyFont="1" applyBorder="1"/>
    <xf numFmtId="43" fontId="2" fillId="0" borderId="39" xfId="1" applyFont="1" applyBorder="1"/>
    <xf numFmtId="44" fontId="0" fillId="0" borderId="43" xfId="2" applyFont="1" applyBorder="1"/>
    <xf numFmtId="44" fontId="0" fillId="0" borderId="44" xfId="2" applyFont="1" applyBorder="1"/>
    <xf numFmtId="43" fontId="0" fillId="17" borderId="39" xfId="1" applyFont="1" applyFill="1" applyBorder="1"/>
    <xf numFmtId="164" fontId="2" fillId="0" borderId="49" xfId="1" applyNumberFormat="1" applyFont="1" applyBorder="1"/>
    <xf numFmtId="164" fontId="2" fillId="0" borderId="50" xfId="1" applyNumberFormat="1" applyFont="1" applyBorder="1"/>
    <xf numFmtId="164" fontId="2" fillId="0" borderId="51" xfId="1" applyNumberFormat="1" applyFont="1" applyBorder="1"/>
    <xf numFmtId="164" fontId="0" fillId="0" borderId="52" xfId="1" applyNumberFormat="1" applyFont="1" applyBorder="1"/>
    <xf numFmtId="164" fontId="0" fillId="0" borderId="53" xfId="1" applyNumberFormat="1" applyFont="1" applyBorder="1"/>
    <xf numFmtId="164" fontId="0" fillId="0" borderId="54" xfId="0" applyNumberFormat="1" applyBorder="1"/>
    <xf numFmtId="164" fontId="17" fillId="23" borderId="4" xfId="1" applyNumberFormat="1" applyFont="1" applyFill="1" applyBorder="1"/>
    <xf numFmtId="43" fontId="0" fillId="0" borderId="42" xfId="1" applyFont="1" applyFill="1" applyBorder="1"/>
    <xf numFmtId="43" fontId="3" fillId="0" borderId="45" xfId="1" applyFont="1" applyBorder="1"/>
    <xf numFmtId="43" fontId="3" fillId="0" borderId="43" xfId="1" applyFont="1" applyBorder="1"/>
    <xf numFmtId="43" fontId="0" fillId="0" borderId="44" xfId="1" applyFont="1" applyFill="1" applyBorder="1"/>
    <xf numFmtId="43" fontId="17" fillId="25" borderId="0" xfId="1" applyFont="1" applyFill="1"/>
    <xf numFmtId="43" fontId="3" fillId="0" borderId="37" xfId="1" applyFont="1" applyBorder="1"/>
    <xf numFmtId="43" fontId="3" fillId="0" borderId="38" xfId="1" applyFont="1" applyBorder="1"/>
    <xf numFmtId="43" fontId="3" fillId="0" borderId="15" xfId="1" applyFont="1" applyBorder="1"/>
    <xf numFmtId="43" fontId="3" fillId="0" borderId="43" xfId="1" applyFont="1" applyBorder="1" applyAlignment="1">
      <alignment horizontal="center"/>
    </xf>
    <xf numFmtId="43" fontId="3" fillId="0" borderId="44" xfId="1" applyFont="1" applyBorder="1" applyAlignment="1">
      <alignment horizontal="center"/>
    </xf>
    <xf numFmtId="164" fontId="0" fillId="0" borderId="39" xfId="1" applyNumberFormat="1" applyFont="1" applyBorder="1"/>
    <xf numFmtId="44" fontId="0" fillId="0" borderId="39" xfId="2" applyFont="1" applyBorder="1"/>
    <xf numFmtId="44" fontId="0" fillId="0" borderId="42" xfId="2" applyFont="1" applyBorder="1"/>
    <xf numFmtId="43" fontId="7" fillId="0" borderId="45" xfId="1" applyFont="1" applyBorder="1"/>
    <xf numFmtId="49" fontId="0" fillId="0" borderId="0" xfId="0" applyNumberFormat="1"/>
    <xf numFmtId="0" fontId="12" fillId="0" borderId="0" xfId="0" applyFont="1"/>
    <xf numFmtId="0" fontId="9" fillId="15" borderId="7" xfId="0" applyFont="1" applyFill="1" applyBorder="1" applyAlignment="1">
      <alignment horizontal="center"/>
    </xf>
    <xf numFmtId="168" fontId="0" fillId="0" borderId="7" xfId="0" applyNumberFormat="1" applyBorder="1"/>
    <xf numFmtId="0" fontId="2" fillId="27" borderId="7" xfId="0" applyFont="1" applyFill="1" applyBorder="1"/>
    <xf numFmtId="168" fontId="0" fillId="27" borderId="7" xfId="0" applyNumberFormat="1" applyFill="1" applyBorder="1"/>
    <xf numFmtId="168" fontId="0" fillId="0" borderId="7" xfId="1" applyNumberFormat="1" applyFont="1" applyBorder="1"/>
    <xf numFmtId="43" fontId="2" fillId="27" borderId="7" xfId="1" applyFont="1" applyFill="1" applyBorder="1"/>
    <xf numFmtId="168" fontId="0" fillId="27" borderId="7" xfId="1" applyNumberFormat="1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127"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font>
        <color rgb="FF548235"/>
      </font>
    </dxf>
    <dxf>
      <font>
        <color rgb="FFC00000"/>
      </font>
    </dxf>
    <dxf>
      <numFmt numFmtId="167" formatCode="&quot;$&quot;#,##0;\(&quot;$&quot;#,##0\);&quot;-&quot;"/>
    </dxf>
    <dxf>
      <numFmt numFmtId="167" formatCode="&quot;$&quot;#,##0;\(&quot;$&quot;#,##0\);&quot;-&quot;"/>
    </dxf>
    <dxf>
      <numFmt numFmtId="167" formatCode="&quot;$&quot;#,##0;\(&quot;$&quot;#,##0\);&quot;-&quot;"/>
    </dxf>
    <dxf>
      <numFmt numFmtId="167" formatCode="&quot;$&quot;#,##0;\(&quot;$&quot;#,##0\);&quot;-&quot;"/>
    </dxf>
    <dxf>
      <numFmt numFmtId="168" formatCode="&quot;$&quot;#,##0"/>
    </dxf>
    <dxf>
      <numFmt numFmtId="168" formatCode="&quot;$&quot;#,##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numFmt numFmtId="168" formatCode="&quot;$&quot;#,##0"/>
    </dxf>
    <dxf>
      <numFmt numFmtId="168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07/relationships/slicerCache" Target="slicerCaches/slicerCache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 FV Procesados 2026(1).xlsx]Pivots!PvSemana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 semanal: Pagado vs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Suma de Pago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Pivots!$A$2:$A$31</c:f>
              <c:strCache>
                <c:ptCount val="29"/>
                <c:pt idx="0">
                  <c:v>01 10-15 NOV</c:v>
                </c:pt>
                <c:pt idx="1">
                  <c:v>02 17-22 NOV</c:v>
                </c:pt>
                <c:pt idx="2">
                  <c:v>03 24-29 NOV</c:v>
                </c:pt>
                <c:pt idx="3">
                  <c:v>04 01-06 Dic</c:v>
                </c:pt>
                <c:pt idx="4">
                  <c:v>05 08-13 Dic</c:v>
                </c:pt>
                <c:pt idx="5">
                  <c:v>06 15-20 Dic</c:v>
                </c:pt>
                <c:pt idx="6">
                  <c:v>07 21-27 Dic</c:v>
                </c:pt>
                <c:pt idx="7">
                  <c:v>08 29 Dic 03 Ene</c:v>
                </c:pt>
                <c:pt idx="8">
                  <c:v>09 05 10 Ene</c:v>
                </c:pt>
                <c:pt idx="9">
                  <c:v>10 11 17 Ene</c:v>
                </c:pt>
                <c:pt idx="10">
                  <c:v>11 19 24 Ene</c:v>
                </c:pt>
                <c:pt idx="11">
                  <c:v>12 26 31 Ene</c:v>
                </c:pt>
                <c:pt idx="12">
                  <c:v>13 01 07 Feb</c:v>
                </c:pt>
                <c:pt idx="13">
                  <c:v>14 09 14 Feb</c:v>
                </c:pt>
                <c:pt idx="14">
                  <c:v>15 16 21 Feb</c:v>
                </c:pt>
                <c:pt idx="15">
                  <c:v>16 23 28 Feb</c:v>
                </c:pt>
                <c:pt idx="16">
                  <c:v>17 02 07 Mar</c:v>
                </c:pt>
                <c:pt idx="17">
                  <c:v>18 09-14 Mar</c:v>
                </c:pt>
                <c:pt idx="18">
                  <c:v>19 16 21 Mar</c:v>
                </c:pt>
                <c:pt idx="19">
                  <c:v>20 23 28 Mar</c:v>
                </c:pt>
                <c:pt idx="20">
                  <c:v>21 30 Mar 04 Abril</c:v>
                </c:pt>
                <c:pt idx="21">
                  <c:v>22 06 11 Abril</c:v>
                </c:pt>
                <c:pt idx="22">
                  <c:v>23 13 18 Abril</c:v>
                </c:pt>
                <c:pt idx="23">
                  <c:v>24 20 25 Abril</c:v>
                </c:pt>
                <c:pt idx="24">
                  <c:v>25 27 Abril 02 Mayo</c:v>
                </c:pt>
                <c:pt idx="25">
                  <c:v>26 04 09 Mayo</c:v>
                </c:pt>
                <c:pt idx="26">
                  <c:v>27 11 16 Mayo</c:v>
                </c:pt>
                <c:pt idx="27">
                  <c:v>28 18 23 Mayo</c:v>
                </c:pt>
                <c:pt idx="28">
                  <c:v>29 25 30 Mayo</c:v>
                </c:pt>
              </c:strCache>
            </c:strRef>
          </c:cat>
          <c:val>
            <c:numRef>
              <c:f>Pivots!$B$2:$B$31</c:f>
              <c:numCache>
                <c:formatCode>"$"#,##0</c:formatCode>
                <c:ptCount val="29"/>
                <c:pt idx="0">
                  <c:v>311006</c:v>
                </c:pt>
                <c:pt idx="1">
                  <c:v>292000</c:v>
                </c:pt>
                <c:pt idx="2">
                  <c:v>140470</c:v>
                </c:pt>
                <c:pt idx="3">
                  <c:v>207784</c:v>
                </c:pt>
                <c:pt idx="4">
                  <c:v>446604</c:v>
                </c:pt>
                <c:pt idx="5">
                  <c:v>392382.67000000004</c:v>
                </c:pt>
                <c:pt idx="6">
                  <c:v>594544.75</c:v>
                </c:pt>
                <c:pt idx="7">
                  <c:v>170659.6</c:v>
                </c:pt>
                <c:pt idx="8">
                  <c:v>171923.65000000002</c:v>
                </c:pt>
                <c:pt idx="9">
                  <c:v>83200</c:v>
                </c:pt>
                <c:pt idx="10">
                  <c:v>147580.56</c:v>
                </c:pt>
                <c:pt idx="11">
                  <c:v>202978</c:v>
                </c:pt>
                <c:pt idx="12">
                  <c:v>228558</c:v>
                </c:pt>
                <c:pt idx="13">
                  <c:v>210551.15000000002</c:v>
                </c:pt>
                <c:pt idx="14">
                  <c:v>205337.81999999998</c:v>
                </c:pt>
                <c:pt idx="15">
                  <c:v>200467.6</c:v>
                </c:pt>
                <c:pt idx="16">
                  <c:v>205104.2</c:v>
                </c:pt>
                <c:pt idx="17">
                  <c:v>187131.924</c:v>
                </c:pt>
                <c:pt idx="18">
                  <c:v>66360.100000000006</c:v>
                </c:pt>
                <c:pt idx="19">
                  <c:v>203156.91</c:v>
                </c:pt>
                <c:pt idx="20">
                  <c:v>148113.9</c:v>
                </c:pt>
                <c:pt idx="21">
                  <c:v>132365.91999999998</c:v>
                </c:pt>
                <c:pt idx="22">
                  <c:v>210849.13</c:v>
                </c:pt>
                <c:pt idx="23">
                  <c:v>541297.31000000006</c:v>
                </c:pt>
                <c:pt idx="24">
                  <c:v>313944.32000000001</c:v>
                </c:pt>
                <c:pt idx="25">
                  <c:v>180013.84000000003</c:v>
                </c:pt>
                <c:pt idx="26">
                  <c:v>355975.31800000003</c:v>
                </c:pt>
                <c:pt idx="27">
                  <c:v>186422.016</c:v>
                </c:pt>
                <c:pt idx="28">
                  <c:v>314720.90999999997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8-439A-B962-3D333EC1529D}"/>
            </c:ext>
          </c:extLst>
        </c:ser>
        <c:ser>
          <c:idx val="1"/>
          <c:order val="1"/>
          <c:tx>
            <c:strRef>
              <c:f>Pivots!$C$1</c:f>
              <c:strCache>
                <c:ptCount val="1"/>
                <c:pt idx="0">
                  <c:v>Suma de Pendiente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Pivots!$A$2:$A$31</c:f>
              <c:strCache>
                <c:ptCount val="29"/>
                <c:pt idx="0">
                  <c:v>01 10-15 NOV</c:v>
                </c:pt>
                <c:pt idx="1">
                  <c:v>02 17-22 NOV</c:v>
                </c:pt>
                <c:pt idx="2">
                  <c:v>03 24-29 NOV</c:v>
                </c:pt>
                <c:pt idx="3">
                  <c:v>04 01-06 Dic</c:v>
                </c:pt>
                <c:pt idx="4">
                  <c:v>05 08-13 Dic</c:v>
                </c:pt>
                <c:pt idx="5">
                  <c:v>06 15-20 Dic</c:v>
                </c:pt>
                <c:pt idx="6">
                  <c:v>07 21-27 Dic</c:v>
                </c:pt>
                <c:pt idx="7">
                  <c:v>08 29 Dic 03 Ene</c:v>
                </c:pt>
                <c:pt idx="8">
                  <c:v>09 05 10 Ene</c:v>
                </c:pt>
                <c:pt idx="9">
                  <c:v>10 11 17 Ene</c:v>
                </c:pt>
                <c:pt idx="10">
                  <c:v>11 19 24 Ene</c:v>
                </c:pt>
                <c:pt idx="11">
                  <c:v>12 26 31 Ene</c:v>
                </c:pt>
                <c:pt idx="12">
                  <c:v>13 01 07 Feb</c:v>
                </c:pt>
                <c:pt idx="13">
                  <c:v>14 09 14 Feb</c:v>
                </c:pt>
                <c:pt idx="14">
                  <c:v>15 16 21 Feb</c:v>
                </c:pt>
                <c:pt idx="15">
                  <c:v>16 23 28 Feb</c:v>
                </c:pt>
                <c:pt idx="16">
                  <c:v>17 02 07 Mar</c:v>
                </c:pt>
                <c:pt idx="17">
                  <c:v>18 09-14 Mar</c:v>
                </c:pt>
                <c:pt idx="18">
                  <c:v>19 16 21 Mar</c:v>
                </c:pt>
                <c:pt idx="19">
                  <c:v>20 23 28 Mar</c:v>
                </c:pt>
                <c:pt idx="20">
                  <c:v>21 30 Mar 04 Abril</c:v>
                </c:pt>
                <c:pt idx="21">
                  <c:v>22 06 11 Abril</c:v>
                </c:pt>
                <c:pt idx="22">
                  <c:v>23 13 18 Abril</c:v>
                </c:pt>
                <c:pt idx="23">
                  <c:v>24 20 25 Abril</c:v>
                </c:pt>
                <c:pt idx="24">
                  <c:v>25 27 Abril 02 Mayo</c:v>
                </c:pt>
                <c:pt idx="25">
                  <c:v>26 04 09 Mayo</c:v>
                </c:pt>
                <c:pt idx="26">
                  <c:v>27 11 16 Mayo</c:v>
                </c:pt>
                <c:pt idx="27">
                  <c:v>28 18 23 Mayo</c:v>
                </c:pt>
                <c:pt idx="28">
                  <c:v>29 25 30 Mayo</c:v>
                </c:pt>
              </c:strCache>
            </c:strRef>
          </c:cat>
          <c:val>
            <c:numRef>
              <c:f>Pivots!$C$2:$C$31</c:f>
              <c:numCache>
                <c:formatCode>"$"#,##0</c:formatCode>
                <c:ptCount val="29"/>
                <c:pt idx="0">
                  <c:v>18740</c:v>
                </c:pt>
                <c:pt idx="1">
                  <c:v>186222</c:v>
                </c:pt>
                <c:pt idx="2">
                  <c:v>124800</c:v>
                </c:pt>
                <c:pt idx="3">
                  <c:v>74150</c:v>
                </c:pt>
                <c:pt idx="4">
                  <c:v>294012.05</c:v>
                </c:pt>
                <c:pt idx="5">
                  <c:v>159012.04999999999</c:v>
                </c:pt>
                <c:pt idx="6">
                  <c:v>119136.08</c:v>
                </c:pt>
                <c:pt idx="7">
                  <c:v>96136.08</c:v>
                </c:pt>
                <c:pt idx="8">
                  <c:v>121136.08</c:v>
                </c:pt>
                <c:pt idx="9">
                  <c:v>298963.54000000004</c:v>
                </c:pt>
                <c:pt idx="10">
                  <c:v>96247.8</c:v>
                </c:pt>
                <c:pt idx="11">
                  <c:v>266885.8</c:v>
                </c:pt>
                <c:pt idx="12">
                  <c:v>208253.8</c:v>
                </c:pt>
                <c:pt idx="13">
                  <c:v>238665.44</c:v>
                </c:pt>
                <c:pt idx="14">
                  <c:v>376773.8</c:v>
                </c:pt>
                <c:pt idx="15">
                  <c:v>103500</c:v>
                </c:pt>
                <c:pt idx="16">
                  <c:v>244546.16999999998</c:v>
                </c:pt>
                <c:pt idx="17">
                  <c:v>122064.87</c:v>
                </c:pt>
                <c:pt idx="18">
                  <c:v>266109.90000000002</c:v>
                </c:pt>
                <c:pt idx="19">
                  <c:v>113892.4</c:v>
                </c:pt>
                <c:pt idx="20">
                  <c:v>153892.4</c:v>
                </c:pt>
                <c:pt idx="21">
                  <c:v>153892.4</c:v>
                </c:pt>
                <c:pt idx="22">
                  <c:v>281703.18</c:v>
                </c:pt>
                <c:pt idx="23">
                  <c:v>55669.42</c:v>
                </c:pt>
                <c:pt idx="24">
                  <c:v>52600.2</c:v>
                </c:pt>
                <c:pt idx="25">
                  <c:v>112478.90000000001</c:v>
                </c:pt>
                <c:pt idx="26">
                  <c:v>311948.59000000003</c:v>
                </c:pt>
                <c:pt idx="27">
                  <c:v>331571.09000000008</c:v>
                </c:pt>
                <c:pt idx="28">
                  <c:v>263589.83999999997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8-439A-B962-3D333EC15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2039375"/>
        <c:axId val="1642040815"/>
      </c:barChart>
      <c:catAx>
        <c:axId val="164203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40815"/>
        <c:crosses val="autoZero"/>
        <c:auto val="1"/>
        <c:lblAlgn val="ctr"/>
        <c:lblOffset val="100"/>
        <c:noMultiLvlLbl val="0"/>
      </c:catAx>
      <c:valAx>
        <c:axId val="16420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3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Pivots!$S$1</c:f>
              <c:strCache>
                <c:ptCount val="1"/>
                <c:pt idx="0">
                  <c:v>Pago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Pivots!$R$2:$R$8</c:f>
              <c:strCache>
                <c:ptCount val="7"/>
                <c:pt idx="0">
                  <c:v>Nómina/Personal</c:v>
                </c:pt>
                <c:pt idx="1">
                  <c:v>Otros</c:v>
                </c:pt>
                <c:pt idx="2">
                  <c:v>Empaque/Material</c:v>
                </c:pt>
                <c:pt idx="3">
                  <c:v>Servicios</c:v>
                </c:pt>
                <c:pt idx="4">
                  <c:v>Impuestos</c:v>
                </c:pt>
                <c:pt idx="5">
                  <c:v>Producto/Fruta</c:v>
                </c:pt>
                <c:pt idx="6">
                  <c:v>LAR/Otros</c:v>
                </c:pt>
              </c:strCache>
            </c:strRef>
          </c:cat>
          <c:val>
            <c:numRef>
              <c:f>Pivots!$S$2:$S$8</c:f>
              <c:numCache>
                <c:formatCode>"$"#,##0</c:formatCode>
                <c:ptCount val="7"/>
                <c:pt idx="0">
                  <c:v>4909233.7</c:v>
                </c:pt>
                <c:pt idx="1">
                  <c:v>837866.08000000007</c:v>
                </c:pt>
                <c:pt idx="2">
                  <c:v>742050.46999999986</c:v>
                </c:pt>
                <c:pt idx="3">
                  <c:v>267089.41800000001</c:v>
                </c:pt>
                <c:pt idx="4">
                  <c:v>186766.93</c:v>
                </c:pt>
                <c:pt idx="5">
                  <c:v>105768</c:v>
                </c:pt>
                <c:pt idx="6">
                  <c:v>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0-40E6-A058-A68E8BC2E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2059535"/>
        <c:axId val="1642043695"/>
      </c:barChart>
      <c:catAx>
        <c:axId val="164205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43695"/>
        <c:crosses val="autoZero"/>
        <c:auto val="1"/>
        <c:lblAlgn val="ctr"/>
        <c:lblOffset val="100"/>
        <c:noMultiLvlLbl val="0"/>
      </c:catAx>
      <c:valAx>
        <c:axId val="164204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5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12 conceptos por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Pivots!$O$1</c:f>
              <c:strCache>
                <c:ptCount val="1"/>
                <c:pt idx="0">
                  <c:v>Pago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Pivots!$N$2:$N$13</c:f>
              <c:strCache>
                <c:ptCount val="12"/>
                <c:pt idx="0">
                  <c:v>NOMINA FV</c:v>
                </c:pt>
                <c:pt idx="1">
                  <c:v>NOMINA CXM</c:v>
                </c:pt>
                <c:pt idx="2">
                  <c:v>RAISA</c:v>
                </c:pt>
                <c:pt idx="3">
                  <c:v>AVV (PAGO SANTANDER)</c:v>
                </c:pt>
                <c:pt idx="4">
                  <c:v>AVV (PAGO MONARCA)</c:v>
                </c:pt>
                <c:pt idx="5">
                  <c:v>ARTURO GUERRERO</c:v>
                </c:pt>
                <c:pt idx="6">
                  <c:v>OMAR GUERRERO</c:v>
                </c:pt>
                <c:pt idx="7">
                  <c:v>ALEX Y RAFA</c:v>
                </c:pt>
                <c:pt idx="8">
                  <c:v>PATAGONIA CAJA CARTON y 30 lbs</c:v>
                </c:pt>
                <c:pt idx="9">
                  <c:v>Honorarios contador</c:v>
                </c:pt>
                <c:pt idx="10">
                  <c:v>CAJA CARTON (PATAGONIA) 20 y 30 lbs</c:v>
                </c:pt>
                <c:pt idx="11">
                  <c:v>CAJA RUTH GDL</c:v>
                </c:pt>
              </c:strCache>
            </c:strRef>
          </c:cat>
          <c:val>
            <c:numRef>
              <c:f>Pivots!$O$2:$O$13</c:f>
              <c:numCache>
                <c:formatCode>"$"#,##0</c:formatCode>
                <c:ptCount val="12"/>
                <c:pt idx="0">
                  <c:v>3043298</c:v>
                </c:pt>
                <c:pt idx="1">
                  <c:v>555402.5</c:v>
                </c:pt>
                <c:pt idx="2">
                  <c:v>329928.42</c:v>
                </c:pt>
                <c:pt idx="3">
                  <c:v>280000</c:v>
                </c:pt>
                <c:pt idx="4">
                  <c:v>260435</c:v>
                </c:pt>
                <c:pt idx="5">
                  <c:v>240000</c:v>
                </c:pt>
                <c:pt idx="6">
                  <c:v>185800</c:v>
                </c:pt>
                <c:pt idx="7">
                  <c:v>184999.8</c:v>
                </c:pt>
                <c:pt idx="8">
                  <c:v>153554.99999999997</c:v>
                </c:pt>
                <c:pt idx="9">
                  <c:v>146100.81799999997</c:v>
                </c:pt>
                <c:pt idx="10">
                  <c:v>127147.6</c:v>
                </c:pt>
                <c:pt idx="11">
                  <c:v>97328.91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8-46E7-86FE-AB7148681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2044175"/>
        <c:axId val="1642061935"/>
      </c:barChart>
      <c:catAx>
        <c:axId val="164204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61935"/>
        <c:crosses val="autoZero"/>
        <c:auto val="1"/>
        <c:lblAlgn val="ctr"/>
        <c:lblOffset val="100"/>
        <c:noMultiLvlLbl val="0"/>
      </c:catAx>
      <c:valAx>
        <c:axId val="164206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20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del gasto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Pivots!$S$1</c:f>
              <c:strCache>
                <c:ptCount val="1"/>
                <c:pt idx="0">
                  <c:v>Pago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6FE-482E-A9D2-1CD4AE97B1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06FE-482E-A9D2-1CD4AE97B1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6FE-482E-A9D2-1CD4AE97B10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06FE-482E-A9D2-1CD4AE97B10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6FE-482E-A9D2-1CD4AE97B10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6FE-482E-A9D2-1CD4AE97B10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06FE-482E-A9D2-1CD4AE97B10E}"/>
              </c:ext>
            </c:extLst>
          </c:dPt>
          <c:dLbls>
            <c:dLbl>
              <c:idx val="0"/>
              <c:layout>
                <c:manualLayout>
                  <c:x val="4.0160642570281124E-2"/>
                  <c:y val="7.3868882733148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E-482E-A9D2-1CD4AE97B10E}"/>
                </c:ext>
              </c:extLst>
            </c:dLbl>
            <c:dLbl>
              <c:idx val="1"/>
              <c:layout>
                <c:manualLayout>
                  <c:x val="-6.224899598393574E-2"/>
                  <c:y val="5.909510618651892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E-482E-A9D2-1CD4AE97B10E}"/>
                </c:ext>
              </c:extLst>
            </c:dLbl>
            <c:dLbl>
              <c:idx val="2"/>
              <c:layout>
                <c:manualLayout>
                  <c:x val="-8.8353413654618476E-2"/>
                  <c:y val="-5.17082179132041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E-482E-A9D2-1CD4AE97B10E}"/>
                </c:ext>
              </c:extLst>
            </c:dLbl>
            <c:dLbl>
              <c:idx val="3"/>
              <c:layout>
                <c:manualLayout>
                  <c:x val="-8.0321285140562249E-2"/>
                  <c:y val="-6.648199445983382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FE-482E-A9D2-1CD4AE97B10E}"/>
                </c:ext>
              </c:extLst>
            </c:dLbl>
            <c:dLbl>
              <c:idx val="4"/>
              <c:layout>
                <c:manualLayout>
                  <c:x val="-4.8192771084337352E-2"/>
                  <c:y val="-8.86426592797783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FE-482E-A9D2-1CD4AE97B10E}"/>
                </c:ext>
              </c:extLst>
            </c:dLbl>
            <c:dLbl>
              <c:idx val="5"/>
              <c:layout>
                <c:manualLayout>
                  <c:x val="-2.4096385542168749E-2"/>
                  <c:y val="-9.602954755309325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FE-482E-A9D2-1CD4AE97B10E}"/>
                </c:ext>
              </c:extLst>
            </c:dLbl>
            <c:dLbl>
              <c:idx val="6"/>
              <c:layout>
                <c:manualLayout>
                  <c:x val="3.4136546184738881E-2"/>
                  <c:y val="-0.1218836565096952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FE-482E-A9D2-1CD4AE97B1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Pivots!$R$2:$R$8</c:f>
              <c:strCache>
                <c:ptCount val="7"/>
                <c:pt idx="0">
                  <c:v>Nómina/Personal</c:v>
                </c:pt>
                <c:pt idx="1">
                  <c:v>Otros</c:v>
                </c:pt>
                <c:pt idx="2">
                  <c:v>Empaque/Material</c:v>
                </c:pt>
                <c:pt idx="3">
                  <c:v>Servicios</c:v>
                </c:pt>
                <c:pt idx="4">
                  <c:v>Impuestos</c:v>
                </c:pt>
                <c:pt idx="5">
                  <c:v>Producto/Fruta</c:v>
                </c:pt>
                <c:pt idx="6">
                  <c:v>LAR/Otros</c:v>
                </c:pt>
              </c:strCache>
            </c:strRef>
          </c:cat>
          <c:val>
            <c:numRef>
              <c:f>Pivots!$S$2:$S$8</c:f>
              <c:numCache>
                <c:formatCode>"$"#,##0</c:formatCode>
                <c:ptCount val="7"/>
                <c:pt idx="0">
                  <c:v>4909233.7</c:v>
                </c:pt>
                <c:pt idx="1">
                  <c:v>837866.08000000007</c:v>
                </c:pt>
                <c:pt idx="2">
                  <c:v>742050.46999999986</c:v>
                </c:pt>
                <c:pt idx="3">
                  <c:v>267089.41800000001</c:v>
                </c:pt>
                <c:pt idx="4">
                  <c:v>186766.93</c:v>
                </c:pt>
                <c:pt idx="5">
                  <c:v>105768</c:v>
                </c:pt>
                <c:pt idx="6">
                  <c:v>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E-482E-A9D2-1CD4AE97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vs Egresos vs Pagado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Pivots!$V$1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Pivots!$U$2:$U$30</c:f>
              <c:strCache>
                <c:ptCount val="29"/>
                <c:pt idx="0">
                  <c:v>10-15 NOV</c:v>
                </c:pt>
                <c:pt idx="1">
                  <c:v>17-22 NOV</c:v>
                </c:pt>
                <c:pt idx="2">
                  <c:v>24-29 NOV</c:v>
                </c:pt>
                <c:pt idx="3">
                  <c:v>01-06 Dic</c:v>
                </c:pt>
                <c:pt idx="4">
                  <c:v>08-13 Dic</c:v>
                </c:pt>
                <c:pt idx="5">
                  <c:v>15-20 Dic</c:v>
                </c:pt>
                <c:pt idx="6">
                  <c:v>21-27 Dic</c:v>
                </c:pt>
                <c:pt idx="7">
                  <c:v>29 Dic 03 Ene</c:v>
                </c:pt>
                <c:pt idx="8">
                  <c:v>05 10 Ene</c:v>
                </c:pt>
                <c:pt idx="9">
                  <c:v>11 17 Ene</c:v>
                </c:pt>
                <c:pt idx="10">
                  <c:v>19 24 Ene</c:v>
                </c:pt>
                <c:pt idx="11">
                  <c:v>26 31 Ene</c:v>
                </c:pt>
                <c:pt idx="12">
                  <c:v>01 07 Feb</c:v>
                </c:pt>
                <c:pt idx="13">
                  <c:v>09 14 Feb</c:v>
                </c:pt>
                <c:pt idx="14">
                  <c:v>16 21 Feb</c:v>
                </c:pt>
                <c:pt idx="15">
                  <c:v>23 28 Feb</c:v>
                </c:pt>
                <c:pt idx="16">
                  <c:v>02 07 Mar</c:v>
                </c:pt>
                <c:pt idx="17">
                  <c:v>09-14 Mar</c:v>
                </c:pt>
                <c:pt idx="18">
                  <c:v>16 21 Mar</c:v>
                </c:pt>
                <c:pt idx="19">
                  <c:v>23 28 Mar</c:v>
                </c:pt>
                <c:pt idx="20">
                  <c:v>30 Mar 04 Abril</c:v>
                </c:pt>
                <c:pt idx="21">
                  <c:v>06 11 Abril</c:v>
                </c:pt>
                <c:pt idx="22">
                  <c:v>13 18 Abril</c:v>
                </c:pt>
                <c:pt idx="23">
                  <c:v>20 25 Abril</c:v>
                </c:pt>
                <c:pt idx="24">
                  <c:v>27 Abril 02 Mayo</c:v>
                </c:pt>
                <c:pt idx="25">
                  <c:v>04 09 Mayo</c:v>
                </c:pt>
                <c:pt idx="26">
                  <c:v>11 16 Mayo</c:v>
                </c:pt>
                <c:pt idx="27">
                  <c:v>18 23 Mayo</c:v>
                </c:pt>
                <c:pt idx="28">
                  <c:v>25 30 Mayo</c:v>
                </c:pt>
              </c:strCache>
            </c:strRef>
          </c:cat>
          <c:val>
            <c:numRef>
              <c:f>Pivots!$V$2:$V$30</c:f>
              <c:numCache>
                <c:formatCode>"$"#,##0</c:formatCode>
                <c:ptCount val="29"/>
                <c:pt idx="0">
                  <c:v>303500.79999999999</c:v>
                </c:pt>
                <c:pt idx="1">
                  <c:v>295000</c:v>
                </c:pt>
                <c:pt idx="2">
                  <c:v>138000</c:v>
                </c:pt>
                <c:pt idx="3">
                  <c:v>138000</c:v>
                </c:pt>
                <c:pt idx="4">
                  <c:v>446470</c:v>
                </c:pt>
                <c:pt idx="5">
                  <c:v>381000</c:v>
                </c:pt>
                <c:pt idx="6">
                  <c:v>595026.80000000005</c:v>
                </c:pt>
                <c:pt idx="7">
                  <c:v>198000</c:v>
                </c:pt>
                <c:pt idx="8">
                  <c:v>221544.8</c:v>
                </c:pt>
                <c:pt idx="9">
                  <c:v>299468.27999999997</c:v>
                </c:pt>
                <c:pt idx="10">
                  <c:v>165824</c:v>
                </c:pt>
                <c:pt idx="11">
                  <c:v>321376</c:v>
                </c:pt>
                <c:pt idx="12">
                  <c:v>249424</c:v>
                </c:pt>
                <c:pt idx="13">
                  <c:v>300680</c:v>
                </c:pt>
                <c:pt idx="14">
                  <c:v>437300</c:v>
                </c:pt>
                <c:pt idx="15">
                  <c:v>227100</c:v>
                </c:pt>
                <c:pt idx="16">
                  <c:v>328790</c:v>
                </c:pt>
                <c:pt idx="17">
                  <c:v>328790</c:v>
                </c:pt>
                <c:pt idx="18">
                  <c:v>328790</c:v>
                </c:pt>
                <c:pt idx="19">
                  <c:v>203456</c:v>
                </c:pt>
                <c:pt idx="20">
                  <c:v>132880</c:v>
                </c:pt>
                <c:pt idx="21">
                  <c:v>199760</c:v>
                </c:pt>
                <c:pt idx="22">
                  <c:v>323806.08000000002</c:v>
                </c:pt>
                <c:pt idx="23">
                  <c:v>524873.19999999995</c:v>
                </c:pt>
                <c:pt idx="24">
                  <c:v>333976</c:v>
                </c:pt>
                <c:pt idx="25">
                  <c:v>193267.8</c:v>
                </c:pt>
                <c:pt idx="26">
                  <c:v>353464</c:v>
                </c:pt>
                <c:pt idx="27">
                  <c:v>206448</c:v>
                </c:pt>
                <c:pt idx="28">
                  <c:v>311700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D-4DB8-B8BC-B111D413581C}"/>
            </c:ext>
          </c:extLst>
        </c:ser>
        <c:ser>
          <c:idx val="1"/>
          <c:order val="1"/>
          <c:tx>
            <c:strRef>
              <c:f>Pivots!$W$1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strRef>
              <c:f>Pivots!$U$2:$U$30</c:f>
              <c:strCache>
                <c:ptCount val="29"/>
                <c:pt idx="0">
                  <c:v>10-15 NOV</c:v>
                </c:pt>
                <c:pt idx="1">
                  <c:v>17-22 NOV</c:v>
                </c:pt>
                <c:pt idx="2">
                  <c:v>24-29 NOV</c:v>
                </c:pt>
                <c:pt idx="3">
                  <c:v>01-06 Dic</c:v>
                </c:pt>
                <c:pt idx="4">
                  <c:v>08-13 Dic</c:v>
                </c:pt>
                <c:pt idx="5">
                  <c:v>15-20 Dic</c:v>
                </c:pt>
                <c:pt idx="6">
                  <c:v>21-27 Dic</c:v>
                </c:pt>
                <c:pt idx="7">
                  <c:v>29 Dic 03 Ene</c:v>
                </c:pt>
                <c:pt idx="8">
                  <c:v>05 10 Ene</c:v>
                </c:pt>
                <c:pt idx="9">
                  <c:v>11 17 Ene</c:v>
                </c:pt>
                <c:pt idx="10">
                  <c:v>19 24 Ene</c:v>
                </c:pt>
                <c:pt idx="11">
                  <c:v>26 31 Ene</c:v>
                </c:pt>
                <c:pt idx="12">
                  <c:v>01 07 Feb</c:v>
                </c:pt>
                <c:pt idx="13">
                  <c:v>09 14 Feb</c:v>
                </c:pt>
                <c:pt idx="14">
                  <c:v>16 21 Feb</c:v>
                </c:pt>
                <c:pt idx="15">
                  <c:v>23 28 Feb</c:v>
                </c:pt>
                <c:pt idx="16">
                  <c:v>02 07 Mar</c:v>
                </c:pt>
                <c:pt idx="17">
                  <c:v>09-14 Mar</c:v>
                </c:pt>
                <c:pt idx="18">
                  <c:v>16 21 Mar</c:v>
                </c:pt>
                <c:pt idx="19">
                  <c:v>23 28 Mar</c:v>
                </c:pt>
                <c:pt idx="20">
                  <c:v>30 Mar 04 Abril</c:v>
                </c:pt>
                <c:pt idx="21">
                  <c:v>06 11 Abril</c:v>
                </c:pt>
                <c:pt idx="22">
                  <c:v>13 18 Abril</c:v>
                </c:pt>
                <c:pt idx="23">
                  <c:v>20 25 Abril</c:v>
                </c:pt>
                <c:pt idx="24">
                  <c:v>27 Abril 02 Mayo</c:v>
                </c:pt>
                <c:pt idx="25">
                  <c:v>04 09 Mayo</c:v>
                </c:pt>
                <c:pt idx="26">
                  <c:v>11 16 Mayo</c:v>
                </c:pt>
                <c:pt idx="27">
                  <c:v>18 23 Mayo</c:v>
                </c:pt>
                <c:pt idx="28">
                  <c:v>25 30 Mayo</c:v>
                </c:pt>
              </c:strCache>
            </c:strRef>
          </c:cat>
          <c:val>
            <c:numRef>
              <c:f>Pivots!$W$2:$W$30</c:f>
              <c:numCache>
                <c:formatCode>"$"#,##0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12950</c:v>
                </c:pt>
                <c:pt idx="3">
                  <c:v>12950</c:v>
                </c:pt>
                <c:pt idx="4">
                  <c:v>16950</c:v>
                </c:pt>
                <c:pt idx="5">
                  <c:v>12950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22000</c:v>
                </c:pt>
                <c:pt idx="18">
                  <c:v>18950</c:v>
                </c:pt>
                <c:pt idx="19">
                  <c:v>16950</c:v>
                </c:pt>
                <c:pt idx="20">
                  <c:v>17950</c:v>
                </c:pt>
                <c:pt idx="21">
                  <c:v>21950</c:v>
                </c:pt>
                <c:pt idx="22">
                  <c:v>20000</c:v>
                </c:pt>
                <c:pt idx="23">
                  <c:v>31050</c:v>
                </c:pt>
                <c:pt idx="24">
                  <c:v>19750</c:v>
                </c:pt>
                <c:pt idx="25">
                  <c:v>18850</c:v>
                </c:pt>
                <c:pt idx="26">
                  <c:v>19450</c:v>
                </c:pt>
                <c:pt idx="27">
                  <c:v>23500</c:v>
                </c:pt>
                <c:pt idx="28">
                  <c:v>20250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D-4DB8-B8BC-B111D413581C}"/>
            </c:ext>
          </c:extLst>
        </c:ser>
        <c:ser>
          <c:idx val="2"/>
          <c:order val="2"/>
          <c:tx>
            <c:strRef>
              <c:f>Pivots!$X$1</c:f>
              <c:strCache>
                <c:ptCount val="1"/>
                <c:pt idx="0">
                  <c:v>Pagado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Pivots!$U$2:$U$30</c:f>
              <c:strCache>
                <c:ptCount val="29"/>
                <c:pt idx="0">
                  <c:v>10-15 NOV</c:v>
                </c:pt>
                <c:pt idx="1">
                  <c:v>17-22 NOV</c:v>
                </c:pt>
                <c:pt idx="2">
                  <c:v>24-29 NOV</c:v>
                </c:pt>
                <c:pt idx="3">
                  <c:v>01-06 Dic</c:v>
                </c:pt>
                <c:pt idx="4">
                  <c:v>08-13 Dic</c:v>
                </c:pt>
                <c:pt idx="5">
                  <c:v>15-20 Dic</c:v>
                </c:pt>
                <c:pt idx="6">
                  <c:v>21-27 Dic</c:v>
                </c:pt>
                <c:pt idx="7">
                  <c:v>29 Dic 03 Ene</c:v>
                </c:pt>
                <c:pt idx="8">
                  <c:v>05 10 Ene</c:v>
                </c:pt>
                <c:pt idx="9">
                  <c:v>11 17 Ene</c:v>
                </c:pt>
                <c:pt idx="10">
                  <c:v>19 24 Ene</c:v>
                </c:pt>
                <c:pt idx="11">
                  <c:v>26 31 Ene</c:v>
                </c:pt>
                <c:pt idx="12">
                  <c:v>01 07 Feb</c:v>
                </c:pt>
                <c:pt idx="13">
                  <c:v>09 14 Feb</c:v>
                </c:pt>
                <c:pt idx="14">
                  <c:v>16 21 Feb</c:v>
                </c:pt>
                <c:pt idx="15">
                  <c:v>23 28 Feb</c:v>
                </c:pt>
                <c:pt idx="16">
                  <c:v>02 07 Mar</c:v>
                </c:pt>
                <c:pt idx="17">
                  <c:v>09-14 Mar</c:v>
                </c:pt>
                <c:pt idx="18">
                  <c:v>16 21 Mar</c:v>
                </c:pt>
                <c:pt idx="19">
                  <c:v>23 28 Mar</c:v>
                </c:pt>
                <c:pt idx="20">
                  <c:v>30 Mar 04 Abril</c:v>
                </c:pt>
                <c:pt idx="21">
                  <c:v>06 11 Abril</c:v>
                </c:pt>
                <c:pt idx="22">
                  <c:v>13 18 Abril</c:v>
                </c:pt>
                <c:pt idx="23">
                  <c:v>20 25 Abril</c:v>
                </c:pt>
                <c:pt idx="24">
                  <c:v>27 Abril 02 Mayo</c:v>
                </c:pt>
                <c:pt idx="25">
                  <c:v>04 09 Mayo</c:v>
                </c:pt>
                <c:pt idx="26">
                  <c:v>11 16 Mayo</c:v>
                </c:pt>
                <c:pt idx="27">
                  <c:v>18 23 Mayo</c:v>
                </c:pt>
                <c:pt idx="28">
                  <c:v>25 30 Mayo</c:v>
                </c:pt>
              </c:strCache>
            </c:strRef>
          </c:cat>
          <c:val>
            <c:numRef>
              <c:f>Pivots!$X$2:$X$30</c:f>
              <c:numCache>
                <c:formatCode>"$"#,##0</c:formatCode>
                <c:ptCount val="29"/>
                <c:pt idx="0">
                  <c:v>311006</c:v>
                </c:pt>
                <c:pt idx="1">
                  <c:v>292000</c:v>
                </c:pt>
                <c:pt idx="2">
                  <c:v>140470</c:v>
                </c:pt>
                <c:pt idx="3">
                  <c:v>207784</c:v>
                </c:pt>
                <c:pt idx="4">
                  <c:v>446604</c:v>
                </c:pt>
                <c:pt idx="5">
                  <c:v>392382.67000000004</c:v>
                </c:pt>
                <c:pt idx="6">
                  <c:v>594544.75</c:v>
                </c:pt>
                <c:pt idx="7">
                  <c:v>170659.6</c:v>
                </c:pt>
                <c:pt idx="8">
                  <c:v>171923.65000000002</c:v>
                </c:pt>
                <c:pt idx="9">
                  <c:v>83200</c:v>
                </c:pt>
                <c:pt idx="10">
                  <c:v>147580.56</c:v>
                </c:pt>
                <c:pt idx="11">
                  <c:v>202978</c:v>
                </c:pt>
                <c:pt idx="12">
                  <c:v>228558</c:v>
                </c:pt>
                <c:pt idx="13">
                  <c:v>210551.15000000002</c:v>
                </c:pt>
                <c:pt idx="14">
                  <c:v>205337.81999999998</c:v>
                </c:pt>
                <c:pt idx="15">
                  <c:v>200467.6</c:v>
                </c:pt>
                <c:pt idx="16">
                  <c:v>205104.2</c:v>
                </c:pt>
                <c:pt idx="17">
                  <c:v>187131.924</c:v>
                </c:pt>
                <c:pt idx="18">
                  <c:v>66360.100000000006</c:v>
                </c:pt>
                <c:pt idx="19">
                  <c:v>203156.91</c:v>
                </c:pt>
                <c:pt idx="20">
                  <c:v>148113.9</c:v>
                </c:pt>
                <c:pt idx="21">
                  <c:v>132365.91999999998</c:v>
                </c:pt>
                <c:pt idx="22">
                  <c:v>210849.13</c:v>
                </c:pt>
                <c:pt idx="23">
                  <c:v>541297.31000000006</c:v>
                </c:pt>
                <c:pt idx="24">
                  <c:v>313944.32000000001</c:v>
                </c:pt>
                <c:pt idx="25">
                  <c:v>180013.84000000003</c:v>
                </c:pt>
                <c:pt idx="26">
                  <c:v>355975.31800000003</c:v>
                </c:pt>
                <c:pt idx="27">
                  <c:v>186422.016</c:v>
                </c:pt>
                <c:pt idx="28">
                  <c:v>314720.90999999997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D-4DB8-B8BC-B111D413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528784"/>
        <c:axId val="1752524464"/>
      </c:barChart>
      <c:catAx>
        <c:axId val="17525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2524464"/>
        <c:crosses val="autoZero"/>
        <c:auto val="1"/>
        <c:lblAlgn val="ctr"/>
        <c:lblOffset val="100"/>
        <c:noMultiLvlLbl val="0"/>
      </c:catAx>
      <c:valAx>
        <c:axId val="17525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25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mensual: Ingresos vs Egresos vs Pagado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Pivots!$AB$1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Pivots!$AA$2:$AA$8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Pivots!$AB$2:$AB$8</c:f>
              <c:numCache>
                <c:formatCode>"$"#,##0</c:formatCode>
                <c:ptCount val="7"/>
                <c:pt idx="0">
                  <c:v>736500.8</c:v>
                </c:pt>
                <c:pt idx="1">
                  <c:v>1758496.8</c:v>
                </c:pt>
                <c:pt idx="2">
                  <c:v>1008213.08</c:v>
                </c:pt>
                <c:pt idx="3">
                  <c:v>1214504</c:v>
                </c:pt>
                <c:pt idx="4">
                  <c:v>1322706</c:v>
                </c:pt>
                <c:pt idx="5">
                  <c:v>1382415.28</c:v>
                </c:pt>
                <c:pt idx="6">
                  <c:v>1064879.8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8-4441-B107-FFC76E2819B3}"/>
            </c:ext>
          </c:extLst>
        </c:ser>
        <c:ser>
          <c:idx val="1"/>
          <c:order val="1"/>
          <c:tx>
            <c:strRef>
              <c:f>Pivots!$AC$1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strRef>
              <c:f>Pivots!$AA$2:$AA$8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Pivots!$AC$2:$AC$8</c:f>
              <c:numCache>
                <c:formatCode>"$"#,##0</c:formatCode>
                <c:ptCount val="7"/>
                <c:pt idx="0">
                  <c:v>12950</c:v>
                </c:pt>
                <c:pt idx="1">
                  <c:v>42850</c:v>
                </c:pt>
                <c:pt idx="2">
                  <c:v>0</c:v>
                </c:pt>
                <c:pt idx="3">
                  <c:v>0</c:v>
                </c:pt>
                <c:pt idx="4">
                  <c:v>75850</c:v>
                </c:pt>
                <c:pt idx="5">
                  <c:v>92750</c:v>
                </c:pt>
                <c:pt idx="6">
                  <c:v>82050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8-4441-B107-FFC76E2819B3}"/>
            </c:ext>
          </c:extLst>
        </c:ser>
        <c:ser>
          <c:idx val="2"/>
          <c:order val="2"/>
          <c:tx>
            <c:strRef>
              <c:f>Pivots!$AD$1</c:f>
              <c:strCache>
                <c:ptCount val="1"/>
                <c:pt idx="0">
                  <c:v>Pagado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Pivots!$AA$2:$AA$8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Pivots!$AD$2:$AD$8</c:f>
              <c:numCache>
                <c:formatCode>"$"#,##0</c:formatCode>
                <c:ptCount val="7"/>
                <c:pt idx="0">
                  <c:v>743476</c:v>
                </c:pt>
                <c:pt idx="1">
                  <c:v>1811975.02</c:v>
                </c:pt>
                <c:pt idx="2">
                  <c:v>605682.21</c:v>
                </c:pt>
                <c:pt idx="3">
                  <c:v>844914.57</c:v>
                </c:pt>
                <c:pt idx="4">
                  <c:v>809867.0340000001</c:v>
                </c:pt>
                <c:pt idx="5">
                  <c:v>1198456.6800000002</c:v>
                </c:pt>
                <c:pt idx="6">
                  <c:v>1037132.084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8-4441-B107-FFC76E28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33776"/>
        <c:axId val="1089625136"/>
      </c:barChart>
      <c:catAx>
        <c:axId val="10896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25136"/>
        <c:crosses val="autoZero"/>
        <c:auto val="1"/>
        <c:lblAlgn val="ctr"/>
        <c:lblOffset val="100"/>
        <c:noMultiLvlLbl val="0"/>
      </c:catAx>
      <c:valAx>
        <c:axId val="10896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Pagado vs Pendiente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Pivots!$AI$1</c:f>
              <c:strCache>
                <c:ptCount val="1"/>
                <c:pt idx="0">
                  <c:v>Pagado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Pivots!$AH$2:$AH$8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Pivots!$AI$2:$AI$8</c:f>
              <c:numCache>
                <c:formatCode>"$"#,##0</c:formatCode>
                <c:ptCount val="7"/>
                <c:pt idx="0">
                  <c:v>743476</c:v>
                </c:pt>
                <c:pt idx="1">
                  <c:v>1811975.02</c:v>
                </c:pt>
                <c:pt idx="2">
                  <c:v>605682.21</c:v>
                </c:pt>
                <c:pt idx="3">
                  <c:v>844914.57</c:v>
                </c:pt>
                <c:pt idx="4">
                  <c:v>809867.0340000001</c:v>
                </c:pt>
                <c:pt idx="5">
                  <c:v>1198456.6800000002</c:v>
                </c:pt>
                <c:pt idx="6">
                  <c:v>1037132.084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3-4A37-93CE-E926AA3C925A}"/>
            </c:ext>
          </c:extLst>
        </c:ser>
        <c:ser>
          <c:idx val="1"/>
          <c:order val="1"/>
          <c:tx>
            <c:strRef>
              <c:f>Pivots!$AJ$1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Pivots!$AH$2:$AH$8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Pivots!$AJ$2:$AJ$8</c:f>
              <c:numCache>
                <c:formatCode>"$"#,##0</c:formatCode>
                <c:ptCount val="7"/>
                <c:pt idx="0">
                  <c:v>329762</c:v>
                </c:pt>
                <c:pt idx="1">
                  <c:v>742446.26000000013</c:v>
                </c:pt>
                <c:pt idx="2">
                  <c:v>783233.22</c:v>
                </c:pt>
                <c:pt idx="3">
                  <c:v>927193.04</c:v>
                </c:pt>
                <c:pt idx="4">
                  <c:v>900505.74000000011</c:v>
                </c:pt>
                <c:pt idx="5">
                  <c:v>543865.20000000007</c:v>
                </c:pt>
                <c:pt idx="6">
                  <c:v>1019588.42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3-4A37-93CE-E926AA3C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94112"/>
        <c:axId val="1237513312"/>
      </c:barChart>
      <c:catAx>
        <c:axId val="123749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513312"/>
        <c:crosses val="autoZero"/>
        <c:auto val="1"/>
        <c:lblAlgn val="ctr"/>
        <c:lblOffset val="100"/>
        <c:noMultiLvlLbl val="0"/>
      </c:catAx>
      <c:valAx>
        <c:axId val="123751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9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 FV Procesados 2026(1).xlsx]Pivots!PvCatMes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Gasto por categoría y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Pivots!$AM$1:$AM$2</c:f>
              <c:strCache>
                <c:ptCount val="1"/>
                <c:pt idx="0">
                  <c:v>Empaque/Material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Pivots!$AM$3:$AM$10</c:f>
              <c:numCache>
                <c:formatCode>"$"#,##0</c:formatCode>
                <c:ptCount val="7"/>
                <c:pt idx="0">
                  <c:v>15000</c:v>
                </c:pt>
                <c:pt idx="1">
                  <c:v>95580.39</c:v>
                </c:pt>
                <c:pt idx="2">
                  <c:v>34481.54</c:v>
                </c:pt>
                <c:pt idx="3">
                  <c:v>124017.68</c:v>
                </c:pt>
                <c:pt idx="4">
                  <c:v>29668.1</c:v>
                </c:pt>
                <c:pt idx="5">
                  <c:v>227823.72999999998</c:v>
                </c:pt>
                <c:pt idx="6">
                  <c:v>215479.03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7-4B4C-BAF7-8E8F911E15BE}"/>
            </c:ext>
          </c:extLst>
        </c:ser>
        <c:ser>
          <c:idx val="1"/>
          <c:order val="1"/>
          <c:tx>
            <c:strRef>
              <c:f>Pivots!$AN$1:$AN$2</c:f>
              <c:strCache>
                <c:ptCount val="1"/>
                <c:pt idx="0">
                  <c:v>Impuestos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Pivots!$AN$3:$AN$10</c:f>
              <c:numCache>
                <c:formatCode>"$"#,##0</c:formatCode>
                <c:ptCount val="7"/>
                <c:pt idx="0">
                  <c:v>17470</c:v>
                </c:pt>
                <c:pt idx="1">
                  <c:v>10000</c:v>
                </c:pt>
                <c:pt idx="2">
                  <c:v>30000</c:v>
                </c:pt>
                <c:pt idx="3">
                  <c:v>0</c:v>
                </c:pt>
                <c:pt idx="4">
                  <c:v>0</c:v>
                </c:pt>
                <c:pt idx="5">
                  <c:v>63929.130000000005</c:v>
                </c:pt>
                <c:pt idx="6">
                  <c:v>65367.8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7-4B4C-BAF7-8E8F911E15BE}"/>
            </c:ext>
          </c:extLst>
        </c:ser>
        <c:ser>
          <c:idx val="2"/>
          <c:order val="2"/>
          <c:tx>
            <c:strRef>
              <c:f>Pivots!$AO$1:$AO$2</c:f>
              <c:strCache>
                <c:ptCount val="1"/>
                <c:pt idx="0">
                  <c:v>LAR/Otros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Pivots!$AO$3:$AO$10</c:f>
              <c:numCache>
                <c:formatCode>"$"#,##0</c:formatCode>
                <c:ptCount val="7"/>
                <c:pt idx="2">
                  <c:v>0</c:v>
                </c:pt>
                <c:pt idx="3">
                  <c:v>0</c:v>
                </c:pt>
                <c:pt idx="6">
                  <c:v>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7-4B4C-BAF7-8E8F911E15BE}"/>
            </c:ext>
          </c:extLst>
        </c:ser>
        <c:ser>
          <c:idx val="3"/>
          <c:order val="3"/>
          <c:tx>
            <c:strRef>
              <c:f>Pivots!$AP$1:$AP$2</c:f>
              <c:strCache>
                <c:ptCount val="1"/>
                <c:pt idx="0">
                  <c:v>Nómina/Personal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Pivots!$AP$3:$AP$10</c:f>
              <c:numCache>
                <c:formatCode>"$"#,##0</c:formatCode>
                <c:ptCount val="7"/>
                <c:pt idx="0">
                  <c:v>650006</c:v>
                </c:pt>
                <c:pt idx="1">
                  <c:v>972504.75</c:v>
                </c:pt>
                <c:pt idx="2">
                  <c:v>519300</c:v>
                </c:pt>
                <c:pt idx="3">
                  <c:v>667778.29</c:v>
                </c:pt>
                <c:pt idx="4">
                  <c:v>614677.14</c:v>
                </c:pt>
                <c:pt idx="5">
                  <c:v>811856.43</c:v>
                </c:pt>
                <c:pt idx="6">
                  <c:v>673111.09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7-4B4C-BAF7-8E8F911E15BE}"/>
            </c:ext>
          </c:extLst>
        </c:ser>
        <c:ser>
          <c:idx val="4"/>
          <c:order val="4"/>
          <c:tx>
            <c:strRef>
              <c:f>Pivots!$AQ$1:$AQ$2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Pivots!$AQ$3:$AQ$10</c:f>
              <c:numCache>
                <c:formatCode>"$"#,##0</c:formatCode>
                <c:ptCount val="7"/>
                <c:pt idx="0">
                  <c:v>0</c:v>
                </c:pt>
                <c:pt idx="1">
                  <c:v>638935.4</c:v>
                </c:pt>
                <c:pt idx="2">
                  <c:v>2041.71</c:v>
                </c:pt>
                <c:pt idx="3">
                  <c:v>36900</c:v>
                </c:pt>
                <c:pt idx="4">
                  <c:v>132560.41</c:v>
                </c:pt>
                <c:pt idx="5">
                  <c:v>9159.56</c:v>
                </c:pt>
                <c:pt idx="6">
                  <c:v>18269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7-4B4C-BAF7-8E8F911E15BE}"/>
            </c:ext>
          </c:extLst>
        </c:ser>
        <c:ser>
          <c:idx val="5"/>
          <c:order val="5"/>
          <c:tx>
            <c:strRef>
              <c:f>Pivots!$AR$1:$AR$2</c:f>
              <c:strCache>
                <c:ptCount val="1"/>
                <c:pt idx="0">
                  <c:v>Producto/Fruta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Pivots!$AR$3:$AR$10</c:f>
              <c:numCache>
                <c:formatCode>"$"#,##0</c:formatCode>
                <c:ptCount val="7"/>
                <c:pt idx="0">
                  <c:v>37000</c:v>
                </c:pt>
                <c:pt idx="1">
                  <c:v>50000</c:v>
                </c:pt>
                <c:pt idx="5">
                  <c:v>18768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67-4B4C-BAF7-8E8F911E15BE}"/>
            </c:ext>
          </c:extLst>
        </c:ser>
        <c:ser>
          <c:idx val="6"/>
          <c:order val="6"/>
          <c:tx>
            <c:strRef>
              <c:f>Pivots!$AS$1:$AS$2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Pivots!$AL$3:$AL$10</c:f>
              <c:strCache>
                <c:ptCount val="7"/>
                <c:pt idx="0">
                  <c:v>1-Nov</c:v>
                </c:pt>
                <c:pt idx="1">
                  <c:v>2-Dic</c:v>
                </c:pt>
                <c:pt idx="2">
                  <c:v>3-Ene</c:v>
                </c:pt>
                <c:pt idx="3">
                  <c:v>4-Feb</c:v>
                </c:pt>
                <c:pt idx="4">
                  <c:v>5-Mar</c:v>
                </c:pt>
                <c:pt idx="5">
                  <c:v>6-Abr</c:v>
                </c:pt>
                <c:pt idx="6">
                  <c:v>7-May</c:v>
                </c:pt>
              </c:strCache>
            </c:strRef>
          </c:cat>
          <c:val>
            <c:numRef>
              <c:f>Pivots!$AS$3:$AS$10</c:f>
              <c:numCache>
                <c:formatCode>"$"#,##0</c:formatCode>
                <c:ptCount val="7"/>
                <c:pt idx="0">
                  <c:v>24000</c:v>
                </c:pt>
                <c:pt idx="1">
                  <c:v>44954.479999999996</c:v>
                </c:pt>
                <c:pt idx="2">
                  <c:v>19858.96</c:v>
                </c:pt>
                <c:pt idx="3">
                  <c:v>16218.6</c:v>
                </c:pt>
                <c:pt idx="4">
                  <c:v>32961.383999999998</c:v>
                </c:pt>
                <c:pt idx="5">
                  <c:v>66919.829999999987</c:v>
                </c:pt>
                <c:pt idx="6">
                  <c:v>62176.163999999997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67-4B4C-BAF7-8E8F911E1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7506592"/>
        <c:axId val="1237513792"/>
      </c:barChart>
      <c:catAx>
        <c:axId val="12375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513792"/>
        <c:crosses val="autoZero"/>
        <c:auto val="1"/>
        <c:lblAlgn val="ctr"/>
        <c:lblOffset val="100"/>
        <c:noMultiLvlLbl val="0"/>
      </c:catAx>
      <c:valAx>
        <c:axId val="12375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5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Nov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'10-15 NOV'!$I$2:$I$5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'10-15 NOV'!$J$2:$J$5</c:f>
              <c:numCache>
                <c:formatCode>"$"#,##0</c:formatCode>
                <c:ptCount val="4"/>
                <c:pt idx="0">
                  <c:v>311006</c:v>
                </c:pt>
                <c:pt idx="1">
                  <c:v>18740</c:v>
                </c:pt>
                <c:pt idx="2">
                  <c:v>303500.79999999999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7-4D4F-AB59-B5E80834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86512"/>
        <c:axId val="1210088432"/>
      </c:barChart>
      <c:catAx>
        <c:axId val="121008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88432"/>
        <c:crosses val="autoZero"/>
        <c:auto val="1"/>
        <c:lblAlgn val="ctr"/>
        <c:lblOffset val="100"/>
        <c:noMultiLvlLbl val="0"/>
      </c:catAx>
      <c:valAx>
        <c:axId val="12100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8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Nov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'17-22 NOV'!$I$2:$I$5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'17-22 NOV'!$J$2:$J$5</c:f>
              <c:numCache>
                <c:formatCode>"$"#,##0</c:formatCode>
                <c:ptCount val="4"/>
                <c:pt idx="0">
                  <c:v>292000</c:v>
                </c:pt>
                <c:pt idx="1">
                  <c:v>186222</c:v>
                </c:pt>
                <c:pt idx="2">
                  <c:v>295000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787-A2DB-922384425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66832"/>
        <c:axId val="1210064912"/>
      </c:barChart>
      <c:catAx>
        <c:axId val="12100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64912"/>
        <c:crosses val="autoZero"/>
        <c:auto val="1"/>
        <c:lblAlgn val="ctr"/>
        <c:lblOffset val="100"/>
        <c:noMultiLvlLbl val="0"/>
      </c:catAx>
      <c:valAx>
        <c:axId val="12100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6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Nov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'24-29 NOV'!$L$2:$L$5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'24-29 NOV'!$M$2:$M$5</c:f>
              <c:numCache>
                <c:formatCode>"$"#,##0</c:formatCode>
                <c:ptCount val="4"/>
                <c:pt idx="0">
                  <c:v>140470</c:v>
                </c:pt>
                <c:pt idx="1">
                  <c:v>124800</c:v>
                </c:pt>
                <c:pt idx="2">
                  <c:v>138000</c:v>
                </c:pt>
                <c:pt idx="3">
                  <c:v>12950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F-441D-B734-87475CC12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95632"/>
        <c:axId val="1210094672"/>
      </c:barChart>
      <c:catAx>
        <c:axId val="12100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94672"/>
        <c:crosses val="autoZero"/>
        <c:auto val="1"/>
        <c:lblAlgn val="ctr"/>
        <c:lblOffset val="100"/>
        <c:noMultiLvlLbl val="0"/>
      </c:catAx>
      <c:valAx>
        <c:axId val="12100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Dic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'01-06 Dic'!$P$2:$P$5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'01-06 Dic'!$Q$2:$Q$5</c:f>
              <c:numCache>
                <c:formatCode>"$"#,##0</c:formatCode>
                <c:ptCount val="4"/>
                <c:pt idx="0">
                  <c:v>207784</c:v>
                </c:pt>
                <c:pt idx="1">
                  <c:v>74150</c:v>
                </c:pt>
                <c:pt idx="2">
                  <c:v>138000</c:v>
                </c:pt>
                <c:pt idx="3">
                  <c:v>12950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8-44FF-998F-4D5014EA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96592"/>
        <c:axId val="1210097072"/>
      </c:barChart>
      <c:catAx>
        <c:axId val="12100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97072"/>
        <c:crosses val="autoZero"/>
        <c:auto val="1"/>
        <c:lblAlgn val="ctr"/>
        <c:lblOffset val="100"/>
        <c:noMultiLvlLbl val="0"/>
      </c:catAx>
      <c:valAx>
        <c:axId val="12100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9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Dic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'08-13 Dic'!$P$2:$P$5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'08-13 Dic'!$Q$2:$Q$5</c:f>
              <c:numCache>
                <c:formatCode>"$"#,##0</c:formatCode>
                <c:ptCount val="4"/>
                <c:pt idx="0">
                  <c:v>446604</c:v>
                </c:pt>
                <c:pt idx="1">
                  <c:v>294012.05</c:v>
                </c:pt>
                <c:pt idx="2">
                  <c:v>446470</c:v>
                </c:pt>
                <c:pt idx="3">
                  <c:v>16950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1-43B4-8AF2-53A8EECC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53392"/>
        <c:axId val="1210038992"/>
      </c:barChart>
      <c:catAx>
        <c:axId val="12100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8992"/>
        <c:crosses val="autoZero"/>
        <c:auto val="1"/>
        <c:lblAlgn val="ctr"/>
        <c:lblOffset val="100"/>
        <c:noMultiLvlLbl val="0"/>
      </c:catAx>
      <c:valAx>
        <c:axId val="121003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Dic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'15-20 Dic'!$J$2:$J$5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'15-20 Dic'!$K$2:$K$5</c:f>
              <c:numCache>
                <c:formatCode>"$"#,##0</c:formatCode>
                <c:ptCount val="4"/>
                <c:pt idx="0">
                  <c:v>392382.67000000004</c:v>
                </c:pt>
                <c:pt idx="1">
                  <c:v>159012.04999999999</c:v>
                </c:pt>
                <c:pt idx="2">
                  <c:v>381000</c:v>
                </c:pt>
                <c:pt idx="3">
                  <c:v>12950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5-4EE0-8339-FC759122A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61072"/>
        <c:axId val="1210058192"/>
      </c:barChart>
      <c:catAx>
        <c:axId val="121006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8192"/>
        <c:crosses val="autoZero"/>
        <c:auto val="1"/>
        <c:lblAlgn val="ctr"/>
        <c:lblOffset val="100"/>
        <c:noMultiLvlLbl val="0"/>
      </c:catAx>
      <c:valAx>
        <c:axId val="12100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6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Dic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'21-27 Dic'!$M$2:$M$5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'21-27 Dic'!$N$2:$N$5</c:f>
              <c:numCache>
                <c:formatCode>"$"#,##0</c:formatCode>
                <c:ptCount val="4"/>
                <c:pt idx="0">
                  <c:v>594544.75</c:v>
                </c:pt>
                <c:pt idx="1">
                  <c:v>119136.08</c:v>
                </c:pt>
                <c:pt idx="2">
                  <c:v>595026.80000000005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2-4CD0-AE9F-1D6B1602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32752"/>
        <c:axId val="1210058672"/>
      </c:barChart>
      <c:catAx>
        <c:axId val="121003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8672"/>
        <c:crosses val="autoZero"/>
        <c:auto val="1"/>
        <c:lblAlgn val="ctr"/>
        <c:lblOffset val="100"/>
        <c:noMultiLvlLbl val="0"/>
      </c:catAx>
      <c:valAx>
        <c:axId val="12100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Dic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'29 Dic 03 Ene'!$M$2:$M$5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'29 Dic 03 Ene'!$N$2:$N$5</c:f>
              <c:numCache>
                <c:formatCode>"$"#,##0</c:formatCode>
                <c:ptCount val="4"/>
                <c:pt idx="0">
                  <c:v>191619.6</c:v>
                </c:pt>
                <c:pt idx="1">
                  <c:v>96136.08</c:v>
                </c:pt>
                <c:pt idx="2">
                  <c:v>198000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4-4560-8200-7FC469453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51952"/>
        <c:axId val="1210055312"/>
      </c:barChart>
      <c:catAx>
        <c:axId val="121005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5312"/>
        <c:crosses val="autoZero"/>
        <c:auto val="1"/>
        <c:lblAlgn val="ctr"/>
        <c:lblOffset val="100"/>
        <c:noMultiLvlLbl val="0"/>
      </c:catAx>
      <c:valAx>
        <c:axId val="12100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Ene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'05 10 Ene'!$O$2:$O$5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'05 10 Ene'!$P$2:$P$5</c:f>
              <c:numCache>
                <c:formatCode>"$"#,##0</c:formatCode>
                <c:ptCount val="4"/>
                <c:pt idx="0">
                  <c:v>171923.65000000002</c:v>
                </c:pt>
                <c:pt idx="1">
                  <c:v>121136.08</c:v>
                </c:pt>
                <c:pt idx="2">
                  <c:v>221544.8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6-432F-B3FE-8EBAFE07A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46192"/>
        <c:axId val="1210062512"/>
      </c:barChart>
      <c:catAx>
        <c:axId val="12100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62512"/>
        <c:crosses val="autoZero"/>
        <c:auto val="1"/>
        <c:lblAlgn val="ctr"/>
        <c:lblOffset val="100"/>
        <c:noMultiLvlLbl val="0"/>
      </c:catAx>
      <c:valAx>
        <c:axId val="12100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4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Ene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 17 Ene'!$O$2:$O$5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'11 17 Ene'!$P$2:$P$5</c:f>
              <c:numCache>
                <c:formatCode>"$"#,##0</c:formatCode>
                <c:ptCount val="4"/>
                <c:pt idx="0">
                  <c:v>83200</c:v>
                </c:pt>
                <c:pt idx="1">
                  <c:v>298963.54000000004</c:v>
                </c:pt>
                <c:pt idx="2">
                  <c:v>299468.27999999997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B-4A6E-92FE-80228EA29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51472"/>
        <c:axId val="1210033232"/>
      </c:barChart>
      <c:catAx>
        <c:axId val="121005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3232"/>
        <c:crosses val="autoZero"/>
        <c:auto val="1"/>
        <c:lblAlgn val="ctr"/>
        <c:lblOffset val="100"/>
        <c:noMultiLvlLbl val="0"/>
      </c:catAx>
      <c:valAx>
        <c:axId val="12100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Ene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'19 24 Ene'!$O$2:$O$5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'19 24 Ene'!$P$2:$P$5</c:f>
              <c:numCache>
                <c:formatCode>"$"#,##0</c:formatCode>
                <c:ptCount val="4"/>
                <c:pt idx="0">
                  <c:v>130780.56000000001</c:v>
                </c:pt>
                <c:pt idx="1">
                  <c:v>96247.8</c:v>
                </c:pt>
                <c:pt idx="2">
                  <c:v>165824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9-444F-A060-8F0EA8AC1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38512"/>
        <c:axId val="1210047632"/>
      </c:barChart>
      <c:catAx>
        <c:axId val="12100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47632"/>
        <c:crosses val="autoZero"/>
        <c:auto val="1"/>
        <c:lblAlgn val="ctr"/>
        <c:lblOffset val="100"/>
        <c:noMultiLvlLbl val="0"/>
      </c:catAx>
      <c:valAx>
        <c:axId val="12100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Ene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'26 31 Ene'!$O$2:$O$5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'26 31 Ene'!$P$2:$P$5</c:f>
              <c:numCache>
                <c:formatCode>"$"#,##0</c:formatCode>
                <c:ptCount val="4"/>
                <c:pt idx="0">
                  <c:v>202978</c:v>
                </c:pt>
                <c:pt idx="1">
                  <c:v>266885.8</c:v>
                </c:pt>
                <c:pt idx="2">
                  <c:v>321376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D-429B-9222-49953E0F4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40912"/>
        <c:axId val="1210054352"/>
      </c:barChart>
      <c:catAx>
        <c:axId val="121004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54352"/>
        <c:crosses val="autoZero"/>
        <c:auto val="1"/>
        <c:lblAlgn val="ctr"/>
        <c:lblOffset val="100"/>
        <c:noMultiLvlLbl val="0"/>
      </c:catAx>
      <c:valAx>
        <c:axId val="12100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Feb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 07 Feb'!$O$2:$O$5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'01 07 Feb'!$P$2:$P$5</c:f>
              <c:numCache>
                <c:formatCode>"$"#,##0</c:formatCode>
                <c:ptCount val="4"/>
                <c:pt idx="0">
                  <c:v>228558</c:v>
                </c:pt>
                <c:pt idx="1">
                  <c:v>208253.8</c:v>
                </c:pt>
                <c:pt idx="2">
                  <c:v>249424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C-4B38-9B73-59330A4D4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39472"/>
        <c:axId val="1210037072"/>
      </c:barChart>
      <c:catAx>
        <c:axId val="12100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7072"/>
        <c:crosses val="autoZero"/>
        <c:auto val="1"/>
        <c:lblAlgn val="ctr"/>
        <c:lblOffset val="100"/>
        <c:noMultiLvlLbl val="0"/>
      </c:catAx>
      <c:valAx>
        <c:axId val="12100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3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Feb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'09 14 Feb'!$O$2:$O$5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'09 14 Feb'!$P$2:$P$5</c:f>
              <c:numCache>
                <c:formatCode>"$"#,##0</c:formatCode>
                <c:ptCount val="4"/>
                <c:pt idx="0">
                  <c:v>210551.15000000002</c:v>
                </c:pt>
                <c:pt idx="1">
                  <c:v>238665.44</c:v>
                </c:pt>
                <c:pt idx="2">
                  <c:v>300680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2-4C4E-B34B-45850C4A9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45712"/>
        <c:axId val="1210049072"/>
      </c:barChart>
      <c:catAx>
        <c:axId val="12100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49072"/>
        <c:crosses val="autoZero"/>
        <c:auto val="1"/>
        <c:lblAlgn val="ctr"/>
        <c:lblOffset val="100"/>
        <c:noMultiLvlLbl val="0"/>
      </c:catAx>
      <c:valAx>
        <c:axId val="12100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4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Feb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 21 Feb'!$O$2:$O$5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'16 21 Feb'!$P$2:$P$5</c:f>
              <c:numCache>
                <c:formatCode>"$"#,##0</c:formatCode>
                <c:ptCount val="4"/>
                <c:pt idx="0">
                  <c:v>205337.81999999998</c:v>
                </c:pt>
                <c:pt idx="1">
                  <c:v>376773.8</c:v>
                </c:pt>
                <c:pt idx="2">
                  <c:v>437300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C-42C7-B8ED-6CEA8A140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30896"/>
        <c:axId val="1089643856"/>
      </c:barChart>
      <c:catAx>
        <c:axId val="10896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43856"/>
        <c:crosses val="autoZero"/>
        <c:auto val="1"/>
        <c:lblAlgn val="ctr"/>
        <c:lblOffset val="100"/>
        <c:noMultiLvlLbl val="0"/>
      </c:catAx>
      <c:valAx>
        <c:axId val="10896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3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Feb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'23 28 Feb'!$P$2:$P$5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'23 28 Feb'!$Q$2:$Q$5</c:f>
              <c:numCache>
                <c:formatCode>"$"#,##0</c:formatCode>
                <c:ptCount val="4"/>
                <c:pt idx="0">
                  <c:v>206967.6</c:v>
                </c:pt>
                <c:pt idx="1">
                  <c:v>103500</c:v>
                </c:pt>
                <c:pt idx="2">
                  <c:v>227100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0-4072-B32C-AF0FDCA6C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23216"/>
        <c:axId val="1089619856"/>
      </c:barChart>
      <c:catAx>
        <c:axId val="10896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19856"/>
        <c:crosses val="autoZero"/>
        <c:auto val="1"/>
        <c:lblAlgn val="ctr"/>
        <c:lblOffset val="100"/>
        <c:noMultiLvlLbl val="0"/>
      </c:catAx>
      <c:valAx>
        <c:axId val="10896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2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 07 Mar'!$P$2:$P$5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'02 07 Mar'!$Q$2:$Q$5</c:f>
              <c:numCache>
                <c:formatCode>"$"#,##0</c:formatCode>
                <c:ptCount val="4"/>
                <c:pt idx="0">
                  <c:v>215104.2</c:v>
                </c:pt>
                <c:pt idx="1">
                  <c:v>244546.16999999998</c:v>
                </c:pt>
                <c:pt idx="2">
                  <c:v>328790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4-4C3D-AE66-8BD9DDCA1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69296"/>
        <c:axId val="1089659216"/>
      </c:barChart>
      <c:catAx>
        <c:axId val="10896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59216"/>
        <c:crosses val="autoZero"/>
        <c:auto val="1"/>
        <c:lblAlgn val="ctr"/>
        <c:lblOffset val="100"/>
        <c:noMultiLvlLbl val="0"/>
      </c:catAx>
      <c:valAx>
        <c:axId val="10896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'09-14 Mar'!$P$2:$P$5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'09-14 Mar'!$Q$2:$Q$5</c:f>
              <c:numCache>
                <c:formatCode>"$"#,##0</c:formatCode>
                <c:ptCount val="4"/>
                <c:pt idx="0">
                  <c:v>197583.924</c:v>
                </c:pt>
                <c:pt idx="1">
                  <c:v>122064.87</c:v>
                </c:pt>
                <c:pt idx="2">
                  <c:v>328790</c:v>
                </c:pt>
                <c:pt idx="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F-4E30-983A-514CA64B8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76496"/>
        <c:axId val="1089656816"/>
      </c:barChart>
      <c:catAx>
        <c:axId val="10896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56816"/>
        <c:crosses val="autoZero"/>
        <c:auto val="1"/>
        <c:lblAlgn val="ctr"/>
        <c:lblOffset val="100"/>
        <c:noMultiLvlLbl val="0"/>
      </c:catAx>
      <c:valAx>
        <c:axId val="10896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96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 21 Mar'!$P$2:$P$5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'16 21 Mar'!$Q$2:$Q$5</c:f>
              <c:numCache>
                <c:formatCode>"$"#,##0</c:formatCode>
                <c:ptCount val="4"/>
                <c:pt idx="0">
                  <c:v>66360.100000000006</c:v>
                </c:pt>
                <c:pt idx="1">
                  <c:v>266109.90000000002</c:v>
                </c:pt>
                <c:pt idx="2">
                  <c:v>328790</c:v>
                </c:pt>
                <c:pt idx="3">
                  <c:v>18950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2D8-BC99-5BC059D81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774240"/>
        <c:axId val="1210090832"/>
      </c:barChart>
      <c:catAx>
        <c:axId val="18277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90832"/>
        <c:crosses val="autoZero"/>
        <c:auto val="1"/>
        <c:lblAlgn val="ctr"/>
        <c:lblOffset val="100"/>
        <c:noMultiLvlLbl val="0"/>
      </c:catAx>
      <c:valAx>
        <c:axId val="12100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777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'23 28 Mar'!$P$2:$P$5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'23 28 Mar'!$Q$2:$Q$5</c:f>
              <c:numCache>
                <c:formatCode>"$"#,##0</c:formatCode>
                <c:ptCount val="4"/>
                <c:pt idx="0">
                  <c:v>203156.91</c:v>
                </c:pt>
                <c:pt idx="1">
                  <c:v>113892.4</c:v>
                </c:pt>
                <c:pt idx="2">
                  <c:v>203456</c:v>
                </c:pt>
                <c:pt idx="3">
                  <c:v>16950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2-4DB7-8B6F-66856206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69232"/>
        <c:axId val="1210078352"/>
      </c:barChart>
      <c:catAx>
        <c:axId val="12100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78352"/>
        <c:crosses val="autoZero"/>
        <c:auto val="1"/>
        <c:lblAlgn val="ctr"/>
        <c:lblOffset val="100"/>
        <c:noMultiLvlLbl val="0"/>
      </c:catAx>
      <c:valAx>
        <c:axId val="12100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00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'30 Mar 04 Abril'!$P$2:$P$5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'30 Mar 04 Abril'!$Q$2:$Q$5</c:f>
              <c:numCache>
                <c:formatCode>"$"#,##0</c:formatCode>
                <c:ptCount val="4"/>
                <c:pt idx="0">
                  <c:v>148113.9</c:v>
                </c:pt>
                <c:pt idx="1">
                  <c:v>153892.4</c:v>
                </c:pt>
                <c:pt idx="2">
                  <c:v>132880</c:v>
                </c:pt>
                <c:pt idx="3">
                  <c:v>17950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F-4E5C-888F-AC02988E1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889072"/>
        <c:axId val="1836414224"/>
      </c:barChart>
      <c:catAx>
        <c:axId val="18328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6414224"/>
        <c:crosses val="autoZero"/>
        <c:auto val="1"/>
        <c:lblAlgn val="ctr"/>
        <c:lblOffset val="100"/>
        <c:noMultiLvlLbl val="0"/>
      </c:catAx>
      <c:valAx>
        <c:axId val="18364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288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Abr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 11 Abril'!$P$2:$P$5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'06 11 Abril'!$Q$2:$Q$5</c:f>
              <c:numCache>
                <c:formatCode>"$"#,##0</c:formatCode>
                <c:ptCount val="4"/>
                <c:pt idx="0">
                  <c:v>132365.91999999998</c:v>
                </c:pt>
                <c:pt idx="1">
                  <c:v>153892.4</c:v>
                </c:pt>
                <c:pt idx="2">
                  <c:v>199760</c:v>
                </c:pt>
                <c:pt idx="3">
                  <c:v>21950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D-4591-A111-C9E45BC0D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70112"/>
        <c:axId val="1237475872"/>
      </c:barChart>
      <c:catAx>
        <c:axId val="123747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5872"/>
        <c:crosses val="autoZero"/>
        <c:auto val="1"/>
        <c:lblAlgn val="ctr"/>
        <c:lblOffset val="100"/>
        <c:noMultiLvlLbl val="0"/>
      </c:catAx>
      <c:valAx>
        <c:axId val="12374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Abr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 18 Abril'!$P$2:$P$5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'13 18 Abril'!$Q$2:$Q$5</c:f>
              <c:numCache>
                <c:formatCode>"$"#,##0</c:formatCode>
                <c:ptCount val="4"/>
                <c:pt idx="0">
                  <c:v>210849.13</c:v>
                </c:pt>
                <c:pt idx="1">
                  <c:v>281703.18</c:v>
                </c:pt>
                <c:pt idx="2">
                  <c:v>323806.08000000002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B-4A44-A43E-AD69B2705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72032"/>
        <c:axId val="1237463392"/>
      </c:barChart>
      <c:catAx>
        <c:axId val="12374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63392"/>
        <c:crosses val="autoZero"/>
        <c:auto val="1"/>
        <c:lblAlgn val="ctr"/>
        <c:lblOffset val="100"/>
        <c:noMultiLvlLbl val="0"/>
      </c:catAx>
      <c:valAx>
        <c:axId val="123746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Abr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 25 Abril'!$Q$2:$Q$5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'20 25 Abril'!$R$2:$R$5</c:f>
              <c:numCache>
                <c:formatCode>"$"#,##0</c:formatCode>
                <c:ptCount val="4"/>
                <c:pt idx="0">
                  <c:v>541297.31000000006</c:v>
                </c:pt>
                <c:pt idx="1">
                  <c:v>55669.42</c:v>
                </c:pt>
                <c:pt idx="2">
                  <c:v>524873.19999999995</c:v>
                </c:pt>
                <c:pt idx="3">
                  <c:v>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E-466D-8283-1270DBA3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86432"/>
        <c:axId val="1237468192"/>
      </c:barChart>
      <c:catAx>
        <c:axId val="123748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68192"/>
        <c:crosses val="autoZero"/>
        <c:auto val="1"/>
        <c:lblAlgn val="ctr"/>
        <c:lblOffset val="100"/>
        <c:noMultiLvlLbl val="0"/>
      </c:catAx>
      <c:valAx>
        <c:axId val="1237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8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Abr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'27 Abril 02 Mayo'!$N$2:$N$5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'27 Abril 02 Mayo'!$O$2:$O$5</c:f>
              <c:numCache>
                <c:formatCode>"$"#,##0</c:formatCode>
                <c:ptCount val="4"/>
                <c:pt idx="0">
                  <c:v>330644.32</c:v>
                </c:pt>
                <c:pt idx="1">
                  <c:v>52600.2</c:v>
                </c:pt>
                <c:pt idx="2">
                  <c:v>333976</c:v>
                </c:pt>
                <c:pt idx="3">
                  <c:v>19750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A-4FD0-B5E9-02965DBE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61952"/>
        <c:axId val="1237459552"/>
      </c:barChart>
      <c:catAx>
        <c:axId val="12374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59552"/>
        <c:crosses val="autoZero"/>
        <c:auto val="1"/>
        <c:lblAlgn val="ctr"/>
        <c:lblOffset val="100"/>
        <c:noMultiLvlLbl val="0"/>
      </c:catAx>
      <c:valAx>
        <c:axId val="12374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6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May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 09 Mayo'!$M$2:$M$5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'04 09 Mayo'!$N$2:$N$5</c:f>
              <c:numCache>
                <c:formatCode>"$"#,##0</c:formatCode>
                <c:ptCount val="4"/>
                <c:pt idx="0">
                  <c:v>180013.84000000003</c:v>
                </c:pt>
                <c:pt idx="1">
                  <c:v>112478.90000000001</c:v>
                </c:pt>
                <c:pt idx="2">
                  <c:v>193267.8</c:v>
                </c:pt>
                <c:pt idx="3">
                  <c:v>18850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D-47DD-AFC3-47593656F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82592"/>
        <c:axId val="1237471552"/>
      </c:barChart>
      <c:catAx>
        <c:axId val="12374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1552"/>
        <c:crosses val="autoZero"/>
        <c:auto val="1"/>
        <c:lblAlgn val="ctr"/>
        <c:lblOffset val="100"/>
        <c:noMultiLvlLbl val="0"/>
      </c:catAx>
      <c:valAx>
        <c:axId val="12374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May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 16 Mayo'!$M$2:$M$5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'11 16 Mayo'!$N$2:$N$5</c:f>
              <c:numCache>
                <c:formatCode>"$"#,##0</c:formatCode>
                <c:ptCount val="4"/>
                <c:pt idx="0">
                  <c:v>365775.31800000003</c:v>
                </c:pt>
                <c:pt idx="1">
                  <c:v>311948.59000000003</c:v>
                </c:pt>
                <c:pt idx="2">
                  <c:v>353464</c:v>
                </c:pt>
                <c:pt idx="3">
                  <c:v>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3-4E98-BE28-67B08ECA4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65312"/>
        <c:axId val="1237483552"/>
      </c:barChart>
      <c:catAx>
        <c:axId val="12374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83552"/>
        <c:crosses val="autoZero"/>
        <c:auto val="1"/>
        <c:lblAlgn val="ctr"/>
        <c:lblOffset val="100"/>
        <c:noMultiLvlLbl val="0"/>
      </c:catAx>
      <c:valAx>
        <c:axId val="12374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May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 23 Mayo'!$O$2:$O$5</c:f>
              <c:strCache>
                <c:ptCount val="4"/>
                <c:pt idx="0">
                  <c:v> Pagado </c:v>
                </c:pt>
                <c:pt idx="1">
                  <c:v> Pendiente </c:v>
                </c:pt>
                <c:pt idx="2">
                  <c:v> Ingresos </c:v>
                </c:pt>
                <c:pt idx="3">
                  <c:v> Egresos </c:v>
                </c:pt>
              </c:strCache>
            </c:strRef>
          </c:cat>
          <c:val>
            <c:numRef>
              <c:f>'18 23 Mayo'!$P$2:$P$5</c:f>
              <c:numCache>
                <c:formatCode>"$"#,##0</c:formatCode>
                <c:ptCount val="4"/>
                <c:pt idx="0">
                  <c:v>186422.016</c:v>
                </c:pt>
                <c:pt idx="1">
                  <c:v>331571.09000000008</c:v>
                </c:pt>
                <c:pt idx="2">
                  <c:v>206448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E-4283-9B90-534F62AB6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72992"/>
        <c:axId val="1237464352"/>
      </c:barChart>
      <c:catAx>
        <c:axId val="123747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64352"/>
        <c:crosses val="autoZero"/>
        <c:auto val="1"/>
        <c:lblAlgn val="ctr"/>
        <c:lblOffset val="100"/>
        <c:noMultiLvlLbl val="0"/>
      </c:catAx>
      <c:valAx>
        <c:axId val="12374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May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30 Mayo'!$Q$2:$Q$5</c:f>
              <c:strCache>
                <c:ptCount val="4"/>
                <c:pt idx="0">
                  <c:v>Pagado</c:v>
                </c:pt>
                <c:pt idx="1">
                  <c:v>Pendiente</c:v>
                </c:pt>
                <c:pt idx="2">
                  <c:v>Ingresos</c:v>
                </c:pt>
                <c:pt idx="3">
                  <c:v>Egresos</c:v>
                </c:pt>
              </c:strCache>
            </c:strRef>
          </c:cat>
          <c:val>
            <c:numRef>
              <c:f>'25 30 Mayo'!$R$2:$R$5</c:f>
              <c:numCache>
                <c:formatCode>"$"#,##0</c:formatCode>
                <c:ptCount val="4"/>
                <c:pt idx="0">
                  <c:v>314720.90999999997</c:v>
                </c:pt>
                <c:pt idx="1">
                  <c:v>263589.83999999997</c:v>
                </c:pt>
                <c:pt idx="2">
                  <c:v>311700</c:v>
                </c:pt>
                <c:pt idx="3">
                  <c:v>20250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B-4A56-AFD1-D79301DED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85472"/>
        <c:axId val="1237473472"/>
      </c:barChart>
      <c:catAx>
        <c:axId val="123748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73472"/>
        <c:crosses val="autoZero"/>
        <c:auto val="1"/>
        <c:lblAlgn val="ctr"/>
        <c:lblOffset val="100"/>
        <c:noMultiLvlLbl val="0"/>
      </c:catAx>
      <c:valAx>
        <c:axId val="12374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748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109220</xdr:colOff>
      <xdr:row>0</xdr:row>
      <xdr:rowOff>25400</xdr:rowOff>
    </xdr:from>
    <xdr:to>
      <xdr:col>11</xdr:col>
      <xdr:colOff>464820</xdr:colOff>
      <xdr:row>8</xdr:row>
      <xdr:rowOff>109220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AD156CD-3FF2-892C-7A85-EE4048BB63B2}"/>
            </a:ext>
          </a:extLst>
        </xdr:cNvPr>
        <xdr:cNvSpPr txBox="1"/>
      </xdr:nvSpPr>
      <xdr:spPr>
        <a:xfrm>
          <a:off x="7874000" y="25400"/>
          <a:ext cx="4318000" cy="1905000"/>
        </a:xfrm>
        <a:prstGeom prst="rect">
          <a:avLst/>
        </a:prstGeom>
        <a:solidFill>
          <a:srgbClr val="FFF2CC"/>
        </a:solidFill>
        <a:ln>
          <a:solidFill>
            <a:srgbClr val="BF9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¿De dónde salen estos datos?
Cada hoja semanal registra los pagos del negocio (nómina, empaque, proveedores, impuestos, etc.). Este tablero resume automáticamente las 29 semanas usando la hoja 'BD Gastos'.
• Pagado = dinero ya desembolsado.
• Pendiente = lo que faltaba por pagar.
• Usa las segmentaciones (Categoría / Semana) para filtrar todos los gráficos a la vez.</a:t>
          </a:r>
        </a:p>
      </xdr:txBody>
    </xdr:sp>
    <xdr:clientData/>
  </xdr:twoCellAnchor>
  <xdr:twoCellAnchor editAs="oneCell">
    <xdr:from>
      <xdr:col>21</xdr:col>
      <xdr:colOff>3175</xdr:colOff>
      <xdr:row>5</xdr:row>
      <xdr:rowOff>44450</xdr:rowOff>
    </xdr:from>
    <xdr:to>
      <xdr:col>23</xdr:col>
      <xdr:colOff>708025</xdr:colOff>
      <xdr:row>19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licer_Categoria">
              <a:extLst>
                <a:ext uri="{FF2B5EF4-FFF2-40B4-BE49-F238E27FC236}">
                  <a16:creationId xmlns:a16="http://schemas.microsoft.com/office/drawing/2014/main" id="{367006BF-B907-2A87-BB47-8D72BD1DC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_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05625" y="1349375"/>
              <a:ext cx="22860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774700</xdr:colOff>
      <xdr:row>23</xdr:row>
      <xdr:rowOff>177800</xdr:rowOff>
    </xdr:from>
    <xdr:to>
      <xdr:col>23</xdr:col>
      <xdr:colOff>688975</xdr:colOff>
      <xdr:row>46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licer_Semana">
              <a:extLst>
                <a:ext uri="{FF2B5EF4-FFF2-40B4-BE49-F238E27FC236}">
                  <a16:creationId xmlns:a16="http://schemas.microsoft.com/office/drawing/2014/main" id="{FEB2EBE8-02DB-22AE-1494-BA20251BD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_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86575" y="4740275"/>
              <a:ext cx="228600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</xdr:row>
      <xdr:rowOff>182879</xdr:rowOff>
    </xdr:from>
    <xdr:to>
      <xdr:col>12</xdr:col>
      <xdr:colOff>0</xdr:colOff>
      <xdr:row>22</xdr:row>
      <xdr:rowOff>182879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4C941C1-CA0D-32D9-03E3-B31164BB4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790574</xdr:colOff>
      <xdr:row>5</xdr:row>
      <xdr:rowOff>1904</xdr:rowOff>
    </xdr:from>
    <xdr:to>
      <xdr:col>20</xdr:col>
      <xdr:colOff>9524</xdr:colOff>
      <xdr:row>23</xdr:row>
      <xdr:rowOff>1904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8B127B0-BF7A-F84F-E912-B1233445C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182879</xdr:rowOff>
    </xdr:from>
    <xdr:to>
      <xdr:col>12</xdr:col>
      <xdr:colOff>0</xdr:colOff>
      <xdr:row>42</xdr:row>
      <xdr:rowOff>182879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5821272-348F-83E7-1FC8-3C8D357B5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23</xdr:row>
      <xdr:rowOff>182879</xdr:rowOff>
    </xdr:from>
    <xdr:to>
      <xdr:col>20</xdr:col>
      <xdr:colOff>0</xdr:colOff>
      <xdr:row>42</xdr:row>
      <xdr:rowOff>182879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F7B34CF-0922-17BF-6AE3-D2D1CA0A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182879</xdr:rowOff>
    </xdr:from>
    <xdr:to>
      <xdr:col>20</xdr:col>
      <xdr:colOff>1</xdr:colOff>
      <xdr:row>62</xdr:row>
      <xdr:rowOff>182879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B15DC6-E34F-4DC3-4394-6A6FC1CC2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51434</xdr:colOff>
      <xdr:row>74</xdr:row>
      <xdr:rowOff>125729</xdr:rowOff>
    </xdr:from>
    <xdr:to>
      <xdr:col>7</xdr:col>
      <xdr:colOff>592454</xdr:colOff>
      <xdr:row>93</xdr:row>
      <xdr:rowOff>163829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793D9C-9484-9069-23F6-16BCE087F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85</xdr:row>
      <xdr:rowOff>182878</xdr:rowOff>
    </xdr:from>
    <xdr:to>
      <xdr:col>10</xdr:col>
      <xdr:colOff>0</xdr:colOff>
      <xdr:row>104</xdr:row>
      <xdr:rowOff>182878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84429A-B3AD-CE62-244E-D9F7BD565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85</xdr:row>
      <xdr:rowOff>182878</xdr:rowOff>
    </xdr:from>
    <xdr:to>
      <xdr:col>20</xdr:col>
      <xdr:colOff>0</xdr:colOff>
      <xdr:row>104</xdr:row>
      <xdr:rowOff>182878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D950495-9FE8-431F-FBE9-8859B8B6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1780540</xdr:colOff>
      <xdr:row>0</xdr:row>
      <xdr:rowOff>127000</xdr:rowOff>
    </xdr:from>
    <xdr:to>
      <xdr:col>8</xdr:col>
      <xdr:colOff>454660</xdr:colOff>
      <xdr:row>12</xdr:row>
      <xdr:rowOff>91440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AE33D97-C8D8-E818-105D-3B8CFCCC3747}"/>
            </a:ext>
          </a:extLst>
        </xdr:cNvPr>
        <xdr:cNvSpPr txBox="1"/>
      </xdr:nvSpPr>
      <xdr:spPr>
        <a:xfrm>
          <a:off x="6604000" y="127000"/>
          <a:ext cx="4572000" cy="2159000"/>
        </a:xfrm>
        <a:prstGeom prst="rect">
          <a:avLst/>
        </a:prstGeom>
        <a:solidFill>
          <a:srgbClr val="FFF2CC"/>
        </a:solidFill>
        <a:ln>
          <a:solidFill>
            <a:srgbClr val="BF9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Esta hoja consolida automáticamente los 448 movimientos de las 29 hojas semanales (Nov 2025 – May 2026).
• Columna Pago = lo desembolsado esa semana (col. C de cada hoja).
• Columna Pendiente = lo que quedó por pagar (col. D).
• Categoría = clasificación del concepto (Nómina, Empaque, Servicios, Impuestos, etc.).
Filtra por Semana o Categoría con los botones de la tabla. El Dashboard lee de aquí.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0</xdr:row>
      <xdr:rowOff>25400</xdr:rowOff>
    </xdr:from>
    <xdr:to>
      <xdr:col>10</xdr:col>
      <xdr:colOff>93980</xdr:colOff>
      <xdr:row>3</xdr:row>
      <xdr:rowOff>157480</xdr:rowOff>
    </xdr:to>
    <xdr:sp macro="" textlink="">
      <xdr:nvSpPr>
        <xdr:cNvPr id="3" name="InfoBox_1015NOV">
          <a:extLst>
            <a:ext uri="{FF2B5EF4-FFF2-40B4-BE49-F238E27FC236}">
              <a16:creationId xmlns:a16="http://schemas.microsoft.com/office/drawing/2014/main" id="{9E654937-D5D1-FB35-1F1F-53A63A4BFF11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4" name="Resumen_0">
          <a:extLst>
            <a:ext uri="{FF2B5EF4-FFF2-40B4-BE49-F238E27FC236}">
              <a16:creationId xmlns:a16="http://schemas.microsoft.com/office/drawing/2014/main" id="{412559A5-8E1B-5447-12FF-761E05A2E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0</xdr:row>
      <xdr:rowOff>25400</xdr:rowOff>
    </xdr:from>
    <xdr:to>
      <xdr:col>10</xdr:col>
      <xdr:colOff>55880</xdr:colOff>
      <xdr:row>3</xdr:row>
      <xdr:rowOff>157480</xdr:rowOff>
    </xdr:to>
    <xdr:sp macro="" textlink="">
      <xdr:nvSpPr>
        <xdr:cNvPr id="3" name="InfoBox_1722NOV">
          <a:extLst>
            <a:ext uri="{FF2B5EF4-FFF2-40B4-BE49-F238E27FC236}">
              <a16:creationId xmlns:a16="http://schemas.microsoft.com/office/drawing/2014/main" id="{95227F06-BABC-602D-EE69-67ABBD57ECD7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4" name="Resumen_1">
          <a:extLst>
            <a:ext uri="{FF2B5EF4-FFF2-40B4-BE49-F238E27FC236}">
              <a16:creationId xmlns:a16="http://schemas.microsoft.com/office/drawing/2014/main" id="{CC0D2A4A-78A6-B03D-8044-809E5530F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581660</xdr:colOff>
      <xdr:row>3</xdr:row>
      <xdr:rowOff>157480</xdr:rowOff>
    </xdr:to>
    <xdr:sp macro="" textlink="">
      <xdr:nvSpPr>
        <xdr:cNvPr id="3" name="InfoBox_2429NOV">
          <a:extLst>
            <a:ext uri="{FF2B5EF4-FFF2-40B4-BE49-F238E27FC236}">
              <a16:creationId xmlns:a16="http://schemas.microsoft.com/office/drawing/2014/main" id="{4C03878A-6D30-96A1-723E-0FEE9059FBA5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4" name="Resumen_2">
          <a:extLst>
            <a:ext uri="{FF2B5EF4-FFF2-40B4-BE49-F238E27FC236}">
              <a16:creationId xmlns:a16="http://schemas.microsoft.com/office/drawing/2014/main" id="{0A0192F7-0ACA-FC86-0389-464E73D5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360680</xdr:colOff>
      <xdr:row>3</xdr:row>
      <xdr:rowOff>157480</xdr:rowOff>
    </xdr:to>
    <xdr:sp macro="" textlink="">
      <xdr:nvSpPr>
        <xdr:cNvPr id="3" name="InfoBox_0106Dic">
          <a:extLst>
            <a:ext uri="{FF2B5EF4-FFF2-40B4-BE49-F238E27FC236}">
              <a16:creationId xmlns:a16="http://schemas.microsoft.com/office/drawing/2014/main" id="{3EF17A72-E94A-7839-0E96-81BFC88B6A85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1</xdr:colOff>
      <xdr:row>7</xdr:row>
      <xdr:rowOff>0</xdr:rowOff>
    </xdr:from>
    <xdr:to>
      <xdr:col>21</xdr:col>
      <xdr:colOff>1</xdr:colOff>
      <xdr:row>20</xdr:row>
      <xdr:rowOff>0</xdr:rowOff>
    </xdr:to>
    <xdr:graphicFrame macro="">
      <xdr:nvGraphicFramePr>
        <xdr:cNvPr id="4" name="Resumen_3">
          <a:extLst>
            <a:ext uri="{FF2B5EF4-FFF2-40B4-BE49-F238E27FC236}">
              <a16:creationId xmlns:a16="http://schemas.microsoft.com/office/drawing/2014/main" id="{67414771-47B4-92AF-7E56-33BA3DAAA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360680</xdr:colOff>
      <xdr:row>3</xdr:row>
      <xdr:rowOff>157480</xdr:rowOff>
    </xdr:to>
    <xdr:sp macro="" textlink="">
      <xdr:nvSpPr>
        <xdr:cNvPr id="3" name="InfoBox_0813Dic">
          <a:extLst>
            <a:ext uri="{FF2B5EF4-FFF2-40B4-BE49-F238E27FC236}">
              <a16:creationId xmlns:a16="http://schemas.microsoft.com/office/drawing/2014/main" id="{17FCD725-3207-C04B-0E12-CEBA60DEC3D0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4">
          <a:extLst>
            <a:ext uri="{FF2B5EF4-FFF2-40B4-BE49-F238E27FC236}">
              <a16:creationId xmlns:a16="http://schemas.microsoft.com/office/drawing/2014/main" id="{1D4F0CB3-F27F-BF24-3AFB-83990359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193040</xdr:colOff>
      <xdr:row>3</xdr:row>
      <xdr:rowOff>157480</xdr:rowOff>
    </xdr:to>
    <xdr:sp macro="" textlink="">
      <xdr:nvSpPr>
        <xdr:cNvPr id="3" name="InfoBox_1520Dic">
          <a:extLst>
            <a:ext uri="{FF2B5EF4-FFF2-40B4-BE49-F238E27FC236}">
              <a16:creationId xmlns:a16="http://schemas.microsoft.com/office/drawing/2014/main" id="{CDF9ED0B-A7A5-20E0-D3E4-9D5490747254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4" name="Resumen_5">
          <a:extLst>
            <a:ext uri="{FF2B5EF4-FFF2-40B4-BE49-F238E27FC236}">
              <a16:creationId xmlns:a16="http://schemas.microsoft.com/office/drawing/2014/main" id="{71B59730-7DBF-90B1-959E-5414FD66E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185420</xdr:colOff>
      <xdr:row>3</xdr:row>
      <xdr:rowOff>157480</xdr:rowOff>
    </xdr:to>
    <xdr:sp macro="" textlink="">
      <xdr:nvSpPr>
        <xdr:cNvPr id="3" name="InfoBox_2127Dic">
          <a:extLst>
            <a:ext uri="{FF2B5EF4-FFF2-40B4-BE49-F238E27FC236}">
              <a16:creationId xmlns:a16="http://schemas.microsoft.com/office/drawing/2014/main" id="{87BE1338-3788-A5EE-600F-F35795D1BE28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Resumen_6">
          <a:extLst>
            <a:ext uri="{FF2B5EF4-FFF2-40B4-BE49-F238E27FC236}">
              <a16:creationId xmlns:a16="http://schemas.microsoft.com/office/drawing/2014/main" id="{5E54954A-B48E-D34A-BD7B-320BA185E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185420</xdr:colOff>
      <xdr:row>3</xdr:row>
      <xdr:rowOff>157480</xdr:rowOff>
    </xdr:to>
    <xdr:sp macro="" textlink="">
      <xdr:nvSpPr>
        <xdr:cNvPr id="3" name="InfoBox_29Dic03Ene">
          <a:extLst>
            <a:ext uri="{FF2B5EF4-FFF2-40B4-BE49-F238E27FC236}">
              <a16:creationId xmlns:a16="http://schemas.microsoft.com/office/drawing/2014/main" id="{278C2DB3-B29C-D5AA-6A4F-0ACFA253DE36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Resumen_7">
          <a:extLst>
            <a:ext uri="{FF2B5EF4-FFF2-40B4-BE49-F238E27FC236}">
              <a16:creationId xmlns:a16="http://schemas.microsoft.com/office/drawing/2014/main" id="{3298470A-7BD0-C07A-2636-759EAA7F8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17780</xdr:colOff>
      <xdr:row>3</xdr:row>
      <xdr:rowOff>157480</xdr:rowOff>
    </xdr:to>
    <xdr:sp macro="" textlink="">
      <xdr:nvSpPr>
        <xdr:cNvPr id="3" name="InfoBox_0510Ene">
          <a:extLst>
            <a:ext uri="{FF2B5EF4-FFF2-40B4-BE49-F238E27FC236}">
              <a16:creationId xmlns:a16="http://schemas.microsoft.com/office/drawing/2014/main" id="{80248F3C-2BE5-6A51-7644-FDDBB37CA120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8">
          <a:extLst>
            <a:ext uri="{FF2B5EF4-FFF2-40B4-BE49-F238E27FC236}">
              <a16:creationId xmlns:a16="http://schemas.microsoft.com/office/drawing/2014/main" id="{CC1A3DC7-4C74-8FAB-5AA3-ED62606E6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8</xdr:col>
      <xdr:colOff>276860</xdr:colOff>
      <xdr:row>3</xdr:row>
      <xdr:rowOff>157480</xdr:rowOff>
    </xdr:to>
    <xdr:sp macro="" textlink="">
      <xdr:nvSpPr>
        <xdr:cNvPr id="3" name="InfoBox_1117Ene">
          <a:extLst>
            <a:ext uri="{FF2B5EF4-FFF2-40B4-BE49-F238E27FC236}">
              <a16:creationId xmlns:a16="http://schemas.microsoft.com/office/drawing/2014/main" id="{E59BCA16-33E7-627B-4171-B9CDC903776F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9">
          <a:extLst>
            <a:ext uri="{FF2B5EF4-FFF2-40B4-BE49-F238E27FC236}">
              <a16:creationId xmlns:a16="http://schemas.microsoft.com/office/drawing/2014/main" id="{337FD272-2964-6634-16A4-98AF293B7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8</xdr:col>
      <xdr:colOff>238760</xdr:colOff>
      <xdr:row>3</xdr:row>
      <xdr:rowOff>157480</xdr:rowOff>
    </xdr:to>
    <xdr:sp macro="" textlink="">
      <xdr:nvSpPr>
        <xdr:cNvPr id="3" name="InfoBox_1924Ene">
          <a:extLst>
            <a:ext uri="{FF2B5EF4-FFF2-40B4-BE49-F238E27FC236}">
              <a16:creationId xmlns:a16="http://schemas.microsoft.com/office/drawing/2014/main" id="{1B6A2789-0D77-FB81-105B-B05F1F663B37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10">
          <a:extLst>
            <a:ext uri="{FF2B5EF4-FFF2-40B4-BE49-F238E27FC236}">
              <a16:creationId xmlns:a16="http://schemas.microsoft.com/office/drawing/2014/main" id="{4940BECB-BED8-0A7F-3008-3598535D5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17780</xdr:colOff>
      <xdr:row>3</xdr:row>
      <xdr:rowOff>157480</xdr:rowOff>
    </xdr:to>
    <xdr:sp macro="" textlink="">
      <xdr:nvSpPr>
        <xdr:cNvPr id="3" name="InfoBox_2631Ene">
          <a:extLst>
            <a:ext uri="{FF2B5EF4-FFF2-40B4-BE49-F238E27FC236}">
              <a16:creationId xmlns:a16="http://schemas.microsoft.com/office/drawing/2014/main" id="{CD14050B-6C58-809D-AF0B-F84D59BDE93C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11">
          <a:extLst>
            <a:ext uri="{FF2B5EF4-FFF2-40B4-BE49-F238E27FC236}">
              <a16:creationId xmlns:a16="http://schemas.microsoft.com/office/drawing/2014/main" id="{0DDB92F2-9822-7087-8014-FEB3272AA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25400</xdr:rowOff>
    </xdr:from>
    <xdr:to>
      <xdr:col>11</xdr:col>
      <xdr:colOff>17780</xdr:colOff>
      <xdr:row>3</xdr:row>
      <xdr:rowOff>157480</xdr:rowOff>
    </xdr:to>
    <xdr:sp macro="" textlink="">
      <xdr:nvSpPr>
        <xdr:cNvPr id="3" name="InfoBox_0107Feb">
          <a:extLst>
            <a:ext uri="{FF2B5EF4-FFF2-40B4-BE49-F238E27FC236}">
              <a16:creationId xmlns:a16="http://schemas.microsoft.com/office/drawing/2014/main" id="{05189F4E-0E74-BE06-3081-322358991DD6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12">
          <a:extLst>
            <a:ext uri="{FF2B5EF4-FFF2-40B4-BE49-F238E27FC236}">
              <a16:creationId xmlns:a16="http://schemas.microsoft.com/office/drawing/2014/main" id="{F17FF500-B52F-B28F-4400-F976F2912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749300</xdr:colOff>
      <xdr:row>3</xdr:row>
      <xdr:rowOff>157480</xdr:rowOff>
    </xdr:to>
    <xdr:sp macro="" textlink="">
      <xdr:nvSpPr>
        <xdr:cNvPr id="3" name="InfoBox_0914Feb">
          <a:extLst>
            <a:ext uri="{FF2B5EF4-FFF2-40B4-BE49-F238E27FC236}">
              <a16:creationId xmlns:a16="http://schemas.microsoft.com/office/drawing/2014/main" id="{2229F7DB-1391-C21E-59FF-830174AA73EE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13">
          <a:extLst>
            <a:ext uri="{FF2B5EF4-FFF2-40B4-BE49-F238E27FC236}">
              <a16:creationId xmlns:a16="http://schemas.microsoft.com/office/drawing/2014/main" id="{34840FBB-05D3-CF23-1C4D-9B9AD8BB2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749300</xdr:colOff>
      <xdr:row>3</xdr:row>
      <xdr:rowOff>157480</xdr:rowOff>
    </xdr:to>
    <xdr:sp macro="" textlink="">
      <xdr:nvSpPr>
        <xdr:cNvPr id="3" name="InfoBox_1621Feb">
          <a:extLst>
            <a:ext uri="{FF2B5EF4-FFF2-40B4-BE49-F238E27FC236}">
              <a16:creationId xmlns:a16="http://schemas.microsoft.com/office/drawing/2014/main" id="{28DE53CB-FA5A-9E56-D029-49AAAE68CA3E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14">
          <a:extLst>
            <a:ext uri="{FF2B5EF4-FFF2-40B4-BE49-F238E27FC236}">
              <a16:creationId xmlns:a16="http://schemas.microsoft.com/office/drawing/2014/main" id="{56B06989-B03B-AA49-1CF2-A61B25ABA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360680</xdr:colOff>
      <xdr:row>3</xdr:row>
      <xdr:rowOff>157480</xdr:rowOff>
    </xdr:to>
    <xdr:sp macro="" textlink="">
      <xdr:nvSpPr>
        <xdr:cNvPr id="3" name="InfoBox_2328Feb">
          <a:extLst>
            <a:ext uri="{FF2B5EF4-FFF2-40B4-BE49-F238E27FC236}">
              <a16:creationId xmlns:a16="http://schemas.microsoft.com/office/drawing/2014/main" id="{7B334E83-BA37-59F3-9A1F-0512692FA516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1</xdr:colOff>
      <xdr:row>7</xdr:row>
      <xdr:rowOff>0</xdr:rowOff>
    </xdr:from>
    <xdr:to>
      <xdr:col>21</xdr:col>
      <xdr:colOff>1</xdr:colOff>
      <xdr:row>20</xdr:row>
      <xdr:rowOff>0</xdr:rowOff>
    </xdr:to>
    <xdr:graphicFrame macro="">
      <xdr:nvGraphicFramePr>
        <xdr:cNvPr id="4" name="Resumen_15">
          <a:extLst>
            <a:ext uri="{FF2B5EF4-FFF2-40B4-BE49-F238E27FC236}">
              <a16:creationId xmlns:a16="http://schemas.microsoft.com/office/drawing/2014/main" id="{7250B15B-EE17-4921-E78A-566DE73AE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665480</xdr:colOff>
      <xdr:row>3</xdr:row>
      <xdr:rowOff>157480</xdr:rowOff>
    </xdr:to>
    <xdr:sp macro="" textlink="">
      <xdr:nvSpPr>
        <xdr:cNvPr id="3" name="InfoBox_0207Mar">
          <a:extLst>
            <a:ext uri="{FF2B5EF4-FFF2-40B4-BE49-F238E27FC236}">
              <a16:creationId xmlns:a16="http://schemas.microsoft.com/office/drawing/2014/main" id="{5B084193-CBE4-7611-EF3E-BD88F7B926E8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1</xdr:colOff>
      <xdr:row>7</xdr:row>
      <xdr:rowOff>0</xdr:rowOff>
    </xdr:from>
    <xdr:to>
      <xdr:col>21</xdr:col>
      <xdr:colOff>1</xdr:colOff>
      <xdr:row>20</xdr:row>
      <xdr:rowOff>0</xdr:rowOff>
    </xdr:to>
    <xdr:graphicFrame macro="">
      <xdr:nvGraphicFramePr>
        <xdr:cNvPr id="4" name="Resumen_16">
          <a:extLst>
            <a:ext uri="{FF2B5EF4-FFF2-40B4-BE49-F238E27FC236}">
              <a16:creationId xmlns:a16="http://schemas.microsoft.com/office/drawing/2014/main" id="{80AC38DB-2B0E-54C3-2E0D-469DDC5FB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11</xdr:col>
      <xdr:colOff>337820</xdr:colOff>
      <xdr:row>3</xdr:row>
      <xdr:rowOff>157480</xdr:rowOff>
    </xdr:to>
    <xdr:sp macro="" textlink="">
      <xdr:nvSpPr>
        <xdr:cNvPr id="3" name="InfoBox_0914Mar">
          <a:extLst>
            <a:ext uri="{FF2B5EF4-FFF2-40B4-BE49-F238E27FC236}">
              <a16:creationId xmlns:a16="http://schemas.microsoft.com/office/drawing/2014/main" id="{44DA2755-F57C-5A24-D322-7649BBF30858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1</xdr:colOff>
      <xdr:row>7</xdr:row>
      <xdr:rowOff>0</xdr:rowOff>
    </xdr:from>
    <xdr:to>
      <xdr:col>21</xdr:col>
      <xdr:colOff>1</xdr:colOff>
      <xdr:row>20</xdr:row>
      <xdr:rowOff>0</xdr:rowOff>
    </xdr:to>
    <xdr:graphicFrame macro="">
      <xdr:nvGraphicFramePr>
        <xdr:cNvPr id="4" name="Resumen_17">
          <a:extLst>
            <a:ext uri="{FF2B5EF4-FFF2-40B4-BE49-F238E27FC236}">
              <a16:creationId xmlns:a16="http://schemas.microsoft.com/office/drawing/2014/main" id="{2762CDB3-BDA3-178C-1AB0-C1355166C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11</xdr:col>
      <xdr:colOff>40640</xdr:colOff>
      <xdr:row>3</xdr:row>
      <xdr:rowOff>157480</xdr:rowOff>
    </xdr:to>
    <xdr:sp macro="" textlink="">
      <xdr:nvSpPr>
        <xdr:cNvPr id="3" name="InfoBox_1621Mar">
          <a:extLst>
            <a:ext uri="{FF2B5EF4-FFF2-40B4-BE49-F238E27FC236}">
              <a16:creationId xmlns:a16="http://schemas.microsoft.com/office/drawing/2014/main" id="{D4DED925-E375-A541-F86E-E215E1AAE69E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18">
          <a:extLst>
            <a:ext uri="{FF2B5EF4-FFF2-40B4-BE49-F238E27FC236}">
              <a16:creationId xmlns:a16="http://schemas.microsoft.com/office/drawing/2014/main" id="{9FA5CC87-1D33-56D9-F537-A6C7D2D5E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436880</xdr:colOff>
      <xdr:row>3</xdr:row>
      <xdr:rowOff>157480</xdr:rowOff>
    </xdr:to>
    <xdr:sp macro="" textlink="">
      <xdr:nvSpPr>
        <xdr:cNvPr id="3" name="InfoBox_2328Mar">
          <a:extLst>
            <a:ext uri="{FF2B5EF4-FFF2-40B4-BE49-F238E27FC236}">
              <a16:creationId xmlns:a16="http://schemas.microsoft.com/office/drawing/2014/main" id="{CB7EEE59-71BA-C301-91B8-3628854FF6E3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19">
          <a:extLst>
            <a:ext uri="{FF2B5EF4-FFF2-40B4-BE49-F238E27FC236}">
              <a16:creationId xmlns:a16="http://schemas.microsoft.com/office/drawing/2014/main" id="{8316775F-87D4-057C-DED6-0FE2A776B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436880</xdr:colOff>
      <xdr:row>3</xdr:row>
      <xdr:rowOff>157480</xdr:rowOff>
    </xdr:to>
    <xdr:sp macro="" textlink="">
      <xdr:nvSpPr>
        <xdr:cNvPr id="3" name="InfoBox_30Mar04Abril">
          <a:extLst>
            <a:ext uri="{FF2B5EF4-FFF2-40B4-BE49-F238E27FC236}">
              <a16:creationId xmlns:a16="http://schemas.microsoft.com/office/drawing/2014/main" id="{07C1A46C-BA86-CCFB-565F-5E003CAC71B6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20">
          <a:extLst>
            <a:ext uri="{FF2B5EF4-FFF2-40B4-BE49-F238E27FC236}">
              <a16:creationId xmlns:a16="http://schemas.microsoft.com/office/drawing/2014/main" id="{0AF0E41B-FA83-2970-59D8-B99E12BEC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436880</xdr:colOff>
      <xdr:row>3</xdr:row>
      <xdr:rowOff>157480</xdr:rowOff>
    </xdr:to>
    <xdr:sp macro="" textlink="">
      <xdr:nvSpPr>
        <xdr:cNvPr id="3" name="InfoBox_0611Abril">
          <a:extLst>
            <a:ext uri="{FF2B5EF4-FFF2-40B4-BE49-F238E27FC236}">
              <a16:creationId xmlns:a16="http://schemas.microsoft.com/office/drawing/2014/main" id="{EFB672C6-7939-6C70-6B7F-2D7118A4F35D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21">
          <a:extLst>
            <a:ext uri="{FF2B5EF4-FFF2-40B4-BE49-F238E27FC236}">
              <a16:creationId xmlns:a16="http://schemas.microsoft.com/office/drawing/2014/main" id="{545C8F01-EAEB-1213-821A-8ECB86D35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436880</xdr:colOff>
      <xdr:row>3</xdr:row>
      <xdr:rowOff>157480</xdr:rowOff>
    </xdr:to>
    <xdr:sp macro="" textlink="">
      <xdr:nvSpPr>
        <xdr:cNvPr id="3" name="InfoBox_1318Abril">
          <a:extLst>
            <a:ext uri="{FF2B5EF4-FFF2-40B4-BE49-F238E27FC236}">
              <a16:creationId xmlns:a16="http://schemas.microsoft.com/office/drawing/2014/main" id="{45FA30F2-F5E4-AD84-988D-74ACA928847A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Resumen_22">
          <a:extLst>
            <a:ext uri="{FF2B5EF4-FFF2-40B4-BE49-F238E27FC236}">
              <a16:creationId xmlns:a16="http://schemas.microsoft.com/office/drawing/2014/main" id="{B421DE5D-AF09-E4DB-DE39-4BFAC5828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10</xdr:col>
      <xdr:colOff>63500</xdr:colOff>
      <xdr:row>3</xdr:row>
      <xdr:rowOff>157480</xdr:rowOff>
    </xdr:to>
    <xdr:sp macro="" textlink="">
      <xdr:nvSpPr>
        <xdr:cNvPr id="3" name="InfoBox_2025Abril">
          <a:extLst>
            <a:ext uri="{FF2B5EF4-FFF2-40B4-BE49-F238E27FC236}">
              <a16:creationId xmlns:a16="http://schemas.microsoft.com/office/drawing/2014/main" id="{4FAC862D-B187-28F7-3F5D-39D0074BAD25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16</xdr:col>
      <xdr:colOff>1</xdr:colOff>
      <xdr:row>7</xdr:row>
      <xdr:rowOff>0</xdr:rowOff>
    </xdr:from>
    <xdr:to>
      <xdr:col>22</xdr:col>
      <xdr:colOff>1</xdr:colOff>
      <xdr:row>20</xdr:row>
      <xdr:rowOff>0</xdr:rowOff>
    </xdr:to>
    <xdr:graphicFrame macro="">
      <xdr:nvGraphicFramePr>
        <xdr:cNvPr id="4" name="Resumen_23">
          <a:extLst>
            <a:ext uri="{FF2B5EF4-FFF2-40B4-BE49-F238E27FC236}">
              <a16:creationId xmlns:a16="http://schemas.microsoft.com/office/drawing/2014/main" id="{11B4750A-BD6E-B068-71C5-4BDD27CDE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9</xdr:col>
      <xdr:colOff>1069340</xdr:colOff>
      <xdr:row>3</xdr:row>
      <xdr:rowOff>157480</xdr:rowOff>
    </xdr:to>
    <xdr:sp macro="" textlink="">
      <xdr:nvSpPr>
        <xdr:cNvPr id="3" name="InfoBox_27Abril02Mayo">
          <a:extLst>
            <a:ext uri="{FF2B5EF4-FFF2-40B4-BE49-F238E27FC236}">
              <a16:creationId xmlns:a16="http://schemas.microsoft.com/office/drawing/2014/main" id="{435F2E03-7767-4885-B8AB-D75C82FAC82F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12</xdr:col>
      <xdr:colOff>1813559</xdr:colOff>
      <xdr:row>7</xdr:row>
      <xdr:rowOff>0</xdr:rowOff>
    </xdr:from>
    <xdr:to>
      <xdr:col>18</xdr:col>
      <xdr:colOff>784859</xdr:colOff>
      <xdr:row>20</xdr:row>
      <xdr:rowOff>0</xdr:rowOff>
    </xdr:to>
    <xdr:graphicFrame macro="">
      <xdr:nvGraphicFramePr>
        <xdr:cNvPr id="4" name="Resumen_24">
          <a:extLst>
            <a:ext uri="{FF2B5EF4-FFF2-40B4-BE49-F238E27FC236}">
              <a16:creationId xmlns:a16="http://schemas.microsoft.com/office/drawing/2014/main" id="{319D4F55-D524-11AD-6AE9-93D118D0C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9</xdr:col>
      <xdr:colOff>1069340</xdr:colOff>
      <xdr:row>3</xdr:row>
      <xdr:rowOff>157480</xdr:rowOff>
    </xdr:to>
    <xdr:sp macro="" textlink="">
      <xdr:nvSpPr>
        <xdr:cNvPr id="3" name="InfoBox_0409Mayo">
          <a:extLst>
            <a:ext uri="{FF2B5EF4-FFF2-40B4-BE49-F238E27FC236}">
              <a16:creationId xmlns:a16="http://schemas.microsoft.com/office/drawing/2014/main" id="{84A22724-BC29-3DB6-7543-F534FDA46686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Resumen_25">
          <a:extLst>
            <a:ext uri="{FF2B5EF4-FFF2-40B4-BE49-F238E27FC236}">
              <a16:creationId xmlns:a16="http://schemas.microsoft.com/office/drawing/2014/main" id="{05E78E20-FCD6-AA94-5F46-B3A585AC6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9</xdr:col>
      <xdr:colOff>596900</xdr:colOff>
      <xdr:row>3</xdr:row>
      <xdr:rowOff>157480</xdr:rowOff>
    </xdr:to>
    <xdr:sp macro="" textlink="">
      <xdr:nvSpPr>
        <xdr:cNvPr id="3" name="InfoBox_1116Mayo">
          <a:extLst>
            <a:ext uri="{FF2B5EF4-FFF2-40B4-BE49-F238E27FC236}">
              <a16:creationId xmlns:a16="http://schemas.microsoft.com/office/drawing/2014/main" id="{07B8C4F7-3429-0005-085E-10D3F07E7BB9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Resumen_26">
          <a:extLst>
            <a:ext uri="{FF2B5EF4-FFF2-40B4-BE49-F238E27FC236}">
              <a16:creationId xmlns:a16="http://schemas.microsoft.com/office/drawing/2014/main" id="{86C00089-1148-E0A5-7B95-B079AB182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9</xdr:col>
      <xdr:colOff>596900</xdr:colOff>
      <xdr:row>3</xdr:row>
      <xdr:rowOff>157480</xdr:rowOff>
    </xdr:to>
    <xdr:sp macro="" textlink="">
      <xdr:nvSpPr>
        <xdr:cNvPr id="3" name="InfoBox_1823Mayo">
          <a:extLst>
            <a:ext uri="{FF2B5EF4-FFF2-40B4-BE49-F238E27FC236}">
              <a16:creationId xmlns:a16="http://schemas.microsoft.com/office/drawing/2014/main" id="{DD65728E-605E-D302-B2C7-F35E2E9DA14D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Resumen_27">
          <a:extLst>
            <a:ext uri="{FF2B5EF4-FFF2-40B4-BE49-F238E27FC236}">
              <a16:creationId xmlns:a16="http://schemas.microsoft.com/office/drawing/2014/main" id="{2F8874E4-10C2-F923-1742-A3FD084D5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25400</xdr:rowOff>
    </xdr:from>
    <xdr:to>
      <xdr:col>8</xdr:col>
      <xdr:colOff>2303780</xdr:colOff>
      <xdr:row>3</xdr:row>
      <xdr:rowOff>157480</xdr:rowOff>
    </xdr:to>
    <xdr:sp macro="" textlink="">
      <xdr:nvSpPr>
        <xdr:cNvPr id="3" name="InfoBox_2530Mayo">
          <a:extLst>
            <a:ext uri="{FF2B5EF4-FFF2-40B4-BE49-F238E27FC236}">
              <a16:creationId xmlns:a16="http://schemas.microsoft.com/office/drawing/2014/main" id="{9D01A9C9-6F31-11C3-4763-468C0020999E}"/>
            </a:ext>
          </a:extLst>
        </xdr:cNvPr>
        <xdr:cNvSpPr txBox="1"/>
      </xdr:nvSpPr>
      <xdr:spPr>
        <a:xfrm>
          <a:off x="3810000" y="25400"/>
          <a:ext cx="7112000" cy="787400"/>
        </a:xfrm>
        <a:prstGeom prst="rect">
          <a:avLst/>
        </a:prstGeom>
        <a:solidFill>
          <a:srgbClr val="FFFFFF"/>
        </a:solidFill>
        <a:ln w="12700">
          <a:solidFill>
            <a:srgbClr val="9DC3E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es-MX"/>
            <a:t>ⓘ Gastos de la semana — CONCEPTO = proveedor · PAGO = ya desembolsado · PENDIENTE = por pagar.
Los bloques a la derecha son ENTRADAS (ingresos) y gastos de personal (LAR).
Este detalle se consolida en la hoja 'BD Gastos' y se resume en el 'Dashboard'.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4" name="Resumen_28">
          <a:extLst>
            <a:ext uri="{FF2B5EF4-FFF2-40B4-BE49-F238E27FC236}">
              <a16:creationId xmlns:a16="http://schemas.microsoft.com/office/drawing/2014/main" id="{D22F530E-B3AB-0EBC-B277-0CF6F4131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uis Almendarez Rodriguez" refreshedDate="46183.479798842593" createdVersion="8" refreshedVersion="8" minRefreshableVersion="3" recordCount="472" xr:uid="{9F987438-102B-4F4B-B008-34F84C2FFF1B}">
  <cacheSource type="worksheet">
    <worksheetSource ref="A1:G473" sheet="BD Gastos"/>
  </cacheSource>
  <cacheFields count="7">
    <cacheField name="Orden" numFmtId="0">
      <sharedItems containsSemiMixedTypes="0" containsString="0" containsNumber="1" containsInteger="1" minValue="1" maxValue="29"/>
    </cacheField>
    <cacheField name="Semana" numFmtId="0">
      <sharedItems count="29">
        <s v="10-15 NOV"/>
        <s v="17-22 NOV"/>
        <s v="24-29 NOV"/>
        <s v="01-06 Dic"/>
        <s v="08-13 Dic"/>
        <s v="15-20 Dic"/>
        <s v="21-27 Dic"/>
        <s v="29 Dic 03 Ene"/>
        <s v="05 10 Ene"/>
        <s v="11 17 Ene"/>
        <s v="19 24 Ene"/>
        <s v="26 31 Ene"/>
        <s v="01 07 Feb"/>
        <s v="09 14 Feb"/>
        <s v="16 21 Feb"/>
        <s v="23 28 Feb"/>
        <s v="02 07 Mar"/>
        <s v="09-14 Mar"/>
        <s v="16 21 Mar"/>
        <s v="23 28 Mar"/>
        <s v="30 Mar 04 Abril"/>
        <s v="06 11 Abril"/>
        <s v="13 18 Abril"/>
        <s v="20 25 Abril"/>
        <s v="27 Abril 02 Mayo"/>
        <s v="04 09 Mayo"/>
        <s v="11 16 Mayo"/>
        <s v="18 23 Mayo"/>
        <s v="25 30 Mayo"/>
      </sharedItems>
    </cacheField>
    <cacheField name="Concepto" numFmtId="0">
      <sharedItems count="117">
        <s v="NOMINA FV"/>
        <s v="RAISA"/>
        <s v="PLATANO"/>
        <s v="ARTURO GUERRERO"/>
        <s v="ALEX Y RAFA"/>
        <s v="CIPSA"/>
        <s v="DEPACHO GARNICA"/>
        <s v="LORE"/>
        <s v="TARIMA"/>
        <s v="SIMA (CALIBRACION)"/>
        <s v="NOMINA CXM"/>
        <s v="ROBERTO REYES"/>
        <s v="SINDULFO"/>
        <s v="SR IGNACIO"/>
        <s v="CIELO (TARIMAS)"/>
        <s v="Ing Aguilar , embolsadora"/>
        <s v="Contador Raymundo"/>
        <s v="EFECTIVO"/>
        <s v="Cristian Ramirez"/>
        <s v="Tenencias"/>
        <s v="Contador Carlos"/>
        <s v="Bolsa Transparente (Chavinda)"/>
        <s v="Transporte de Gente"/>
        <s v="EMBAPACK"/>
        <s v="LORE (Transporte Personal)"/>
        <s v="LALO AGUIRRE"/>
        <s v="CAJA CARTON (PATAGONIA)"/>
        <s v="AVV (PAGO SANTANDER)"/>
        <s v="Honorarios contador"/>
        <s v="ETIQUETAS CODICE"/>
        <s v="AVV (PAGO SANTANDERT)"/>
        <s v="AVV (PAGO MONARCA)"/>
        <s v="telefono"/>
        <s v="GUAYABAS LA ESPERANZA"/>
        <s v="Contador Reymundo"/>
        <s v="CONTRATO REIMER (Lic Carlos)"/>
        <s v="IMSS CXM"/>
        <s v="PAGO CONTPAQ"/>
        <s v="Primus Lab"/>
        <s v="CODICE"/>
        <s v="DIKEN"/>
        <s v="OMAR nomina"/>
        <s v="OMAR"/>
        <s v="Bolsa (Chavinda)"/>
        <s v="SANICHEM"/>
        <s v="TRANSPORTE LORE"/>
        <s v="DELFIN"/>
        <s v="PROLIZA"/>
        <s v="IMPUESTOS OCTUBRE LAR"/>
        <s v="ADEUDO GALU"/>
        <s v="CAJA CARTON (RUTH)"/>
        <s v="CAJA PATAGONI Y EMBAPACK"/>
        <s v="CAJA PATAGONIA"/>
        <s v="gastos"/>
        <s v="IMSS"/>
        <s v="BOLSA 30 LBS CHAVINDA"/>
        <s v="CAJA CARTON (PATAGONIA) 20 y 30 lbs"/>
        <s v="CAJA RUTH GDL"/>
        <s v="Edgar Joel Vega Martínez (Emplaye)"/>
        <s v="MARACUYA BORREGOS"/>
        <s v="SEGURO AVEO"/>
        <s v="Alejandro Rodriguez"/>
        <s v="AVV MONARCA"/>
        <s v="VERIFICACION FLOSOL"/>
        <s v="AVV"/>
        <s v="EMBAPACK Bolsa Verde)"/>
        <s v="FRENOS CAMIONETA JESUS"/>
        <s v="ETIQUETAS"/>
        <s v="JOSE HDEZ GARCIA (PAGO TARIMA)"/>
        <s v="MARACUYA"/>
        <s v="NOMINA JACONA"/>
        <s v="TRAMITES CFE"/>
        <s v="COMPRA LAPTOP"/>
        <s v="PAGO BOTELLA PLASTICO 1 LTO"/>
        <s v="AVV  (MONARCA)"/>
        <s v="ROCIO IMPI"/>
        <s v="CIRAM"/>
        <s v="GLADYS (CERTIFICACION)"/>
        <s v="CIELO ALEJANDRA (TARIMAS) GONZALO"/>
        <s v="CAJA RUTH GDLMK BOXES"/>
        <s v="IMSS FV"/>
        <s v="CONVENIO IMSS CXM"/>
        <s v="SAM JARABES TAPATIOS"/>
        <s v="OMAR GUERRERO"/>
        <s v="MATERIAL RAISA"/>
        <s v="PONCHO MADRIGAL (Fresa)"/>
        <s v="NOMINA JACONA SABADO"/>
        <s v="NOMINA JACONA MIERCOLES"/>
        <s v="EMBAPACK Bolsa Verde"/>
        <s v="EMBAPACK Bolsa AZUL"/>
        <s v="Varios (Llaves reparacion FV)"/>
        <s v="Aceros Gutz"/>
        <s v="FLEJE MONTERREY"/>
        <s v="IMSS (DEPOSITO A CUENTA AVV)"/>
        <s v="Pintura FV ( cubeta Esmalte)"/>
        <s v="TRES GUERRAS"/>
        <s v="PAGO ACTA CONST FV PLUS"/>
        <s v="IMPRENTA BERNARDO"/>
        <s v="MK BOXES RUTH GDL"/>
        <s v="PATAGONIA CAJA CARTON y 30 lbs"/>
        <s v="CODICE ETIQUETAS"/>
        <s v="EDUARDO AGUIRRE"/>
        <s v="GALU"/>
        <s v="BATAS, DIESEL, HOMEDEPOT"/>
        <s v="IMPUESTOS LAR FEBRERO"/>
        <s v="NOMINA JACONA Y OCUMICHO SABADO"/>
        <s v="NOMINA JACONA Y OCUMICHO MIERCOLES"/>
        <s v="CHRISTIAN MANUEL (TAMINAS)"/>
        <s v="DEPACHO GARNICA (Pago Febrero 2026)"/>
        <s v="EMBAPACK Bolsa TRNASPARENTE"/>
        <s v="EMBAPACK Bolsa AZUL)"/>
        <s v="LAR seguro aveo"/>
        <s v="STEREN NEBULIZADORES"/>
        <s v="IMPUESTOS LAR"/>
        <s v="CIPSA (Control de Plagas)"/>
        <s v="EMBAPACK Bolsa AZUL y verde"/>
        <s v="JOSE &quot;CARAS&quot; EQUIPO REFRIGERACION"/>
      </sharedItems>
    </cacheField>
    <cacheField name="Categoría" numFmtId="0">
      <sharedItems count="7">
        <s v="Nómina/Personal"/>
        <s v="Producto/Fruta"/>
        <s v="Servicios"/>
        <s v="Empaque/Material"/>
        <s v="Otros"/>
        <s v="Impuestos"/>
        <s v="LAR/Otros"/>
      </sharedItems>
    </cacheField>
    <cacheField name="Pago" numFmtId="168">
      <sharedItems containsSemiMixedTypes="0" containsString="0" containsNumber="1" minValue="0" maxValue="280000"/>
    </cacheField>
    <cacheField name="Pendiente" numFmtId="168">
      <sharedItems containsSemiMixedTypes="0" containsString="0" containsNumber="1" minValue="0" maxValue="110000"/>
    </cacheField>
    <cacheField name="Periodo" numFmtId="167">
      <sharedItems count="29">
        <s v="01 10-15 NOV"/>
        <s v="02 17-22 NOV"/>
        <s v="03 24-29 NOV"/>
        <s v="04 01-06 Dic"/>
        <s v="05 08-13 Dic"/>
        <s v="06 15-20 Dic"/>
        <s v="07 21-27 Dic"/>
        <s v="08 29 Dic 03 Ene"/>
        <s v="09 05 10 Ene"/>
        <s v="10 11 17 Ene"/>
        <s v="11 19 24 Ene"/>
        <s v="12 26 31 Ene"/>
        <s v="13 01 07 Feb"/>
        <s v="14 09 14 Feb"/>
        <s v="15 16 21 Feb"/>
        <s v="16 23 28 Feb"/>
        <s v="17 02 07 Mar"/>
        <s v="18 09-14 Mar"/>
        <s v="19 16 21 Mar"/>
        <s v="20 23 28 Mar"/>
        <s v="21 30 Mar 04 Abril"/>
        <s v="22 06 11 Abril"/>
        <s v="23 13 18 Abril"/>
        <s v="24 20 25 Abril"/>
        <s v="25 27 Abril 02 Mayo"/>
        <s v="26 04 09 Mayo"/>
        <s v="27 11 16 Mayo"/>
        <s v="28 18 23 Mayo"/>
        <s v="29 25 30 Mayo"/>
      </sharedItems>
    </cacheField>
  </cacheFields>
  <extLst>
    <ext xmlns:x14="http://schemas.microsoft.com/office/spreadsheetml/2009/9/main" uri="{725AE2AE-9491-48be-B2B4-4EB974FC3084}">
      <x14:pivotCacheDefinition pivotCacheId="63170719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uis Almendarez Rodriguez" refreshedDate="46183.520633796295" createdVersion="8" refreshedVersion="8" minRefreshableVersion="3" recordCount="472" xr:uid="{B384F7EE-BD61-4D3F-8CB7-E92030105BA5}">
  <cacheSource type="worksheet">
    <worksheetSource ref="A1:H473" sheet="BD Gastos"/>
  </cacheSource>
  <cacheFields count="8">
    <cacheField name="Orden" numFmtId="0">
      <sharedItems containsSemiMixedTypes="0" containsString="0" containsNumber="1" containsInteger="1" minValue="1" maxValue="29"/>
    </cacheField>
    <cacheField name="Semana" numFmtId="0">
      <sharedItems/>
    </cacheField>
    <cacheField name="Concepto" numFmtId="0">
      <sharedItems/>
    </cacheField>
    <cacheField name="Categoría" numFmtId="0">
      <sharedItems count="7">
        <s v="Nómina/Personal"/>
        <s v="Producto/Fruta"/>
        <s v="Servicios"/>
        <s v="Empaque/Material"/>
        <s v="Otros"/>
        <s v="Impuestos"/>
        <s v="LAR/Otros"/>
      </sharedItems>
    </cacheField>
    <cacheField name="Pago" numFmtId="168">
      <sharedItems containsSemiMixedTypes="0" containsString="0" containsNumber="1" minValue="0" maxValue="280000"/>
    </cacheField>
    <cacheField name="Pendiente" numFmtId="168">
      <sharedItems containsSemiMixedTypes="0" containsString="0" containsNumber="1" minValue="0" maxValue="110000"/>
    </cacheField>
    <cacheField name="Periodo" numFmtId="167">
      <sharedItems/>
    </cacheField>
    <cacheField name="Mes" numFmtId="167">
      <sharedItems count="7">
        <s v="1-Nov"/>
        <s v="2-Dic"/>
        <s v="3-Ene"/>
        <s v="4-Feb"/>
        <s v="5-Mar"/>
        <s v="6-Abr"/>
        <s v="7-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n v="1"/>
    <x v="0"/>
    <x v="0"/>
    <x v="0"/>
    <n v="130000"/>
    <n v="0"/>
    <x v="0"/>
  </r>
  <r>
    <n v="1"/>
    <x v="0"/>
    <x v="1"/>
    <x v="0"/>
    <n v="50000"/>
    <n v="0"/>
    <x v="0"/>
  </r>
  <r>
    <n v="1"/>
    <x v="0"/>
    <x v="2"/>
    <x v="1"/>
    <n v="37000"/>
    <n v="0"/>
    <x v="0"/>
  </r>
  <r>
    <n v="1"/>
    <x v="0"/>
    <x v="3"/>
    <x v="0"/>
    <n v="30000"/>
    <n v="0"/>
    <x v="0"/>
  </r>
  <r>
    <n v="1"/>
    <x v="0"/>
    <x v="4"/>
    <x v="0"/>
    <n v="10000"/>
    <n v="0"/>
    <x v="0"/>
  </r>
  <r>
    <n v="1"/>
    <x v="0"/>
    <x v="5"/>
    <x v="2"/>
    <n v="3000"/>
    <n v="0"/>
    <x v="0"/>
  </r>
  <r>
    <n v="1"/>
    <x v="0"/>
    <x v="6"/>
    <x v="2"/>
    <n v="9000"/>
    <n v="0"/>
    <x v="0"/>
  </r>
  <r>
    <n v="1"/>
    <x v="0"/>
    <x v="7"/>
    <x v="0"/>
    <n v="12006"/>
    <n v="0"/>
    <x v="0"/>
  </r>
  <r>
    <n v="1"/>
    <x v="0"/>
    <x v="8"/>
    <x v="3"/>
    <n v="0"/>
    <n v="16240"/>
    <x v="0"/>
  </r>
  <r>
    <n v="1"/>
    <x v="0"/>
    <x v="9"/>
    <x v="2"/>
    <n v="0"/>
    <n v="2500"/>
    <x v="0"/>
  </r>
  <r>
    <n v="1"/>
    <x v="0"/>
    <x v="10"/>
    <x v="0"/>
    <n v="30000"/>
    <n v="0"/>
    <x v="0"/>
  </r>
  <r>
    <n v="2"/>
    <x v="1"/>
    <x v="0"/>
    <x v="0"/>
    <n v="115000"/>
    <n v="0"/>
    <x v="1"/>
  </r>
  <r>
    <n v="2"/>
    <x v="1"/>
    <x v="1"/>
    <x v="0"/>
    <n v="30000"/>
    <n v="0"/>
    <x v="1"/>
  </r>
  <r>
    <n v="2"/>
    <x v="1"/>
    <x v="1"/>
    <x v="0"/>
    <n v="0"/>
    <n v="50136"/>
    <x v="1"/>
  </r>
  <r>
    <n v="2"/>
    <x v="1"/>
    <x v="3"/>
    <x v="0"/>
    <n v="50000"/>
    <n v="0"/>
    <x v="1"/>
  </r>
  <r>
    <n v="2"/>
    <x v="1"/>
    <x v="4"/>
    <x v="0"/>
    <n v="20000"/>
    <n v="0"/>
    <x v="1"/>
  </r>
  <r>
    <n v="2"/>
    <x v="1"/>
    <x v="5"/>
    <x v="2"/>
    <n v="3000"/>
    <n v="0"/>
    <x v="1"/>
  </r>
  <r>
    <n v="2"/>
    <x v="1"/>
    <x v="6"/>
    <x v="2"/>
    <n v="9000"/>
    <n v="0"/>
    <x v="1"/>
  </r>
  <r>
    <n v="2"/>
    <x v="1"/>
    <x v="7"/>
    <x v="0"/>
    <n v="0"/>
    <n v="12006"/>
    <x v="1"/>
  </r>
  <r>
    <n v="2"/>
    <x v="1"/>
    <x v="8"/>
    <x v="3"/>
    <n v="0"/>
    <n v="16240"/>
    <x v="1"/>
  </r>
  <r>
    <n v="2"/>
    <x v="1"/>
    <x v="9"/>
    <x v="2"/>
    <n v="0"/>
    <n v="2500"/>
    <x v="1"/>
  </r>
  <r>
    <n v="2"/>
    <x v="1"/>
    <x v="10"/>
    <x v="0"/>
    <n v="30000"/>
    <n v="0"/>
    <x v="1"/>
  </r>
  <r>
    <n v="2"/>
    <x v="1"/>
    <x v="11"/>
    <x v="0"/>
    <n v="0"/>
    <n v="20300"/>
    <x v="1"/>
  </r>
  <r>
    <n v="2"/>
    <x v="1"/>
    <x v="12"/>
    <x v="0"/>
    <n v="0"/>
    <n v="20000"/>
    <x v="1"/>
  </r>
  <r>
    <n v="2"/>
    <x v="1"/>
    <x v="13"/>
    <x v="0"/>
    <n v="20000"/>
    <n v="0"/>
    <x v="1"/>
  </r>
  <r>
    <n v="2"/>
    <x v="1"/>
    <x v="14"/>
    <x v="3"/>
    <n v="0"/>
    <n v="16240"/>
    <x v="1"/>
  </r>
  <r>
    <n v="2"/>
    <x v="1"/>
    <x v="15"/>
    <x v="3"/>
    <n v="15000"/>
    <n v="0"/>
    <x v="1"/>
  </r>
  <r>
    <n v="2"/>
    <x v="1"/>
    <x v="16"/>
    <x v="2"/>
    <n v="0"/>
    <n v="3000"/>
    <x v="1"/>
  </r>
  <r>
    <n v="2"/>
    <x v="1"/>
    <x v="17"/>
    <x v="4"/>
    <n v="0"/>
    <n v="20000"/>
    <x v="1"/>
  </r>
  <r>
    <n v="2"/>
    <x v="1"/>
    <x v="18"/>
    <x v="0"/>
    <n v="0"/>
    <n v="25800"/>
    <x v="1"/>
  </r>
  <r>
    <n v="3"/>
    <x v="2"/>
    <x v="0"/>
    <x v="0"/>
    <n v="110000"/>
    <n v="0"/>
    <x v="2"/>
  </r>
  <r>
    <n v="3"/>
    <x v="2"/>
    <x v="3"/>
    <x v="0"/>
    <n v="0"/>
    <n v="50000"/>
    <x v="2"/>
  </r>
  <r>
    <n v="3"/>
    <x v="2"/>
    <x v="4"/>
    <x v="0"/>
    <n v="0"/>
    <n v="20000"/>
    <x v="2"/>
  </r>
  <r>
    <n v="3"/>
    <x v="2"/>
    <x v="5"/>
    <x v="2"/>
    <n v="0"/>
    <n v="3000"/>
    <x v="2"/>
  </r>
  <r>
    <n v="3"/>
    <x v="2"/>
    <x v="6"/>
    <x v="2"/>
    <n v="0"/>
    <n v="9000"/>
    <x v="2"/>
  </r>
  <r>
    <n v="3"/>
    <x v="2"/>
    <x v="9"/>
    <x v="2"/>
    <n v="0"/>
    <n v="2500"/>
    <x v="2"/>
  </r>
  <r>
    <n v="3"/>
    <x v="2"/>
    <x v="10"/>
    <x v="0"/>
    <n v="13000"/>
    <n v="0"/>
    <x v="2"/>
  </r>
  <r>
    <n v="3"/>
    <x v="2"/>
    <x v="11"/>
    <x v="0"/>
    <n v="0"/>
    <n v="20300"/>
    <x v="2"/>
  </r>
  <r>
    <n v="3"/>
    <x v="2"/>
    <x v="12"/>
    <x v="0"/>
    <n v="0"/>
    <n v="20000"/>
    <x v="2"/>
  </r>
  <r>
    <n v="3"/>
    <x v="2"/>
    <x v="19"/>
    <x v="5"/>
    <n v="17470"/>
    <n v="0"/>
    <x v="2"/>
  </r>
  <r>
    <n v="4"/>
    <x v="3"/>
    <x v="0"/>
    <x v="0"/>
    <n v="120000"/>
    <n v="0"/>
    <x v="3"/>
  </r>
  <r>
    <n v="4"/>
    <x v="3"/>
    <x v="3"/>
    <x v="0"/>
    <n v="50000"/>
    <n v="0"/>
    <x v="3"/>
  </r>
  <r>
    <n v="4"/>
    <x v="3"/>
    <x v="4"/>
    <x v="0"/>
    <n v="10000"/>
    <n v="0"/>
    <x v="3"/>
  </r>
  <r>
    <n v="4"/>
    <x v="3"/>
    <x v="5"/>
    <x v="2"/>
    <n v="2784"/>
    <n v="3000"/>
    <x v="3"/>
  </r>
  <r>
    <n v="4"/>
    <x v="3"/>
    <x v="6"/>
    <x v="2"/>
    <n v="0"/>
    <n v="9000"/>
    <x v="3"/>
  </r>
  <r>
    <n v="4"/>
    <x v="3"/>
    <x v="9"/>
    <x v="2"/>
    <n v="0"/>
    <n v="2500"/>
    <x v="3"/>
  </r>
  <r>
    <n v="4"/>
    <x v="3"/>
    <x v="10"/>
    <x v="0"/>
    <n v="15000"/>
    <n v="0"/>
    <x v="3"/>
  </r>
  <r>
    <n v="4"/>
    <x v="3"/>
    <x v="11"/>
    <x v="0"/>
    <n v="0"/>
    <n v="20300"/>
    <x v="3"/>
  </r>
  <r>
    <n v="4"/>
    <x v="3"/>
    <x v="12"/>
    <x v="0"/>
    <n v="0"/>
    <n v="20000"/>
    <x v="3"/>
  </r>
  <r>
    <n v="4"/>
    <x v="3"/>
    <x v="20"/>
    <x v="2"/>
    <n v="10000"/>
    <n v="0"/>
    <x v="3"/>
  </r>
  <r>
    <n v="4"/>
    <x v="3"/>
    <x v="21"/>
    <x v="3"/>
    <n v="0"/>
    <n v="7350"/>
    <x v="3"/>
  </r>
  <r>
    <n v="4"/>
    <x v="3"/>
    <x v="22"/>
    <x v="4"/>
    <n v="0"/>
    <n v="12000"/>
    <x v="3"/>
  </r>
  <r>
    <n v="5"/>
    <x v="4"/>
    <x v="0"/>
    <x v="0"/>
    <n v="115000"/>
    <n v="0"/>
    <x v="4"/>
  </r>
  <r>
    <n v="5"/>
    <x v="4"/>
    <x v="1"/>
    <x v="0"/>
    <n v="0"/>
    <n v="50000"/>
    <x v="4"/>
  </r>
  <r>
    <n v="5"/>
    <x v="4"/>
    <x v="23"/>
    <x v="3"/>
    <n v="5000"/>
    <n v="0"/>
    <x v="4"/>
  </r>
  <r>
    <n v="5"/>
    <x v="4"/>
    <x v="3"/>
    <x v="0"/>
    <n v="0"/>
    <n v="50000"/>
    <x v="4"/>
  </r>
  <r>
    <n v="5"/>
    <x v="4"/>
    <x v="4"/>
    <x v="0"/>
    <n v="10000"/>
    <n v="0"/>
    <x v="4"/>
  </r>
  <r>
    <n v="5"/>
    <x v="4"/>
    <x v="5"/>
    <x v="2"/>
    <n v="0"/>
    <n v="5568"/>
    <x v="4"/>
  </r>
  <r>
    <n v="5"/>
    <x v="4"/>
    <x v="6"/>
    <x v="2"/>
    <n v="0"/>
    <n v="9000"/>
    <x v="4"/>
  </r>
  <r>
    <n v="5"/>
    <x v="4"/>
    <x v="24"/>
    <x v="0"/>
    <n v="0"/>
    <n v="12500"/>
    <x v="4"/>
  </r>
  <r>
    <n v="5"/>
    <x v="4"/>
    <x v="9"/>
    <x v="2"/>
    <n v="0"/>
    <n v="2500"/>
    <x v="4"/>
  </r>
  <r>
    <n v="5"/>
    <x v="4"/>
    <x v="10"/>
    <x v="0"/>
    <n v="17000"/>
    <n v="0"/>
    <x v="4"/>
  </r>
  <r>
    <n v="5"/>
    <x v="4"/>
    <x v="11"/>
    <x v="0"/>
    <n v="0"/>
    <n v="49247.8"/>
    <x v="4"/>
  </r>
  <r>
    <n v="5"/>
    <x v="4"/>
    <x v="25"/>
    <x v="0"/>
    <n v="0"/>
    <n v="22846.25"/>
    <x v="4"/>
  </r>
  <r>
    <n v="5"/>
    <x v="4"/>
    <x v="21"/>
    <x v="3"/>
    <n v="0"/>
    <n v="7350"/>
    <x v="4"/>
  </r>
  <r>
    <n v="5"/>
    <x v="4"/>
    <x v="26"/>
    <x v="3"/>
    <n v="19604"/>
    <n v="0"/>
    <x v="4"/>
  </r>
  <r>
    <n v="5"/>
    <x v="4"/>
    <x v="27"/>
    <x v="4"/>
    <n v="280000"/>
    <n v="85000"/>
    <x v="4"/>
  </r>
  <r>
    <n v="6"/>
    <x v="5"/>
    <x v="0"/>
    <x v="0"/>
    <n v="125038"/>
    <n v="0"/>
    <x v="5"/>
  </r>
  <r>
    <n v="6"/>
    <x v="5"/>
    <x v="1"/>
    <x v="0"/>
    <n v="0"/>
    <n v="50000"/>
    <x v="5"/>
  </r>
  <r>
    <n v="6"/>
    <x v="5"/>
    <x v="3"/>
    <x v="0"/>
    <n v="50000"/>
    <n v="0"/>
    <x v="5"/>
  </r>
  <r>
    <n v="6"/>
    <x v="5"/>
    <x v="4"/>
    <x v="0"/>
    <n v="10000"/>
    <n v="0"/>
    <x v="5"/>
  </r>
  <r>
    <n v="6"/>
    <x v="5"/>
    <x v="5"/>
    <x v="2"/>
    <n v="0"/>
    <n v="5568"/>
    <x v="5"/>
  </r>
  <r>
    <n v="6"/>
    <x v="5"/>
    <x v="6"/>
    <x v="2"/>
    <n v="0"/>
    <n v="9000"/>
    <x v="5"/>
  </r>
  <r>
    <n v="6"/>
    <x v="5"/>
    <x v="24"/>
    <x v="0"/>
    <n v="0"/>
    <n v="12500"/>
    <x v="5"/>
  </r>
  <r>
    <n v="6"/>
    <x v="5"/>
    <x v="9"/>
    <x v="2"/>
    <n v="0"/>
    <n v="2500"/>
    <x v="5"/>
  </r>
  <r>
    <n v="6"/>
    <x v="5"/>
    <x v="10"/>
    <x v="0"/>
    <n v="13000"/>
    <n v="0"/>
    <x v="5"/>
  </r>
  <r>
    <n v="6"/>
    <x v="5"/>
    <x v="11"/>
    <x v="0"/>
    <n v="0"/>
    <n v="49247.8"/>
    <x v="5"/>
  </r>
  <r>
    <n v="6"/>
    <x v="5"/>
    <x v="25"/>
    <x v="0"/>
    <n v="0"/>
    <n v="22846.25"/>
    <x v="5"/>
  </r>
  <r>
    <n v="6"/>
    <x v="5"/>
    <x v="15"/>
    <x v="3"/>
    <n v="12000"/>
    <n v="0"/>
    <x v="5"/>
  </r>
  <r>
    <n v="6"/>
    <x v="5"/>
    <x v="28"/>
    <x v="2"/>
    <n v="9588.2800000000007"/>
    <n v="0"/>
    <x v="5"/>
  </r>
  <r>
    <n v="6"/>
    <x v="5"/>
    <x v="18"/>
    <x v="0"/>
    <n v="28500"/>
    <n v="0"/>
    <x v="5"/>
  </r>
  <r>
    <n v="6"/>
    <x v="5"/>
    <x v="18"/>
    <x v="0"/>
    <n v="10200"/>
    <n v="0"/>
    <x v="5"/>
  </r>
  <r>
    <n v="6"/>
    <x v="5"/>
    <x v="21"/>
    <x v="3"/>
    <n v="8000"/>
    <n v="7350"/>
    <x v="5"/>
  </r>
  <r>
    <n v="6"/>
    <x v="5"/>
    <x v="26"/>
    <x v="3"/>
    <n v="39208"/>
    <n v="0"/>
    <x v="5"/>
  </r>
  <r>
    <n v="6"/>
    <x v="5"/>
    <x v="29"/>
    <x v="3"/>
    <n v="3648.39"/>
    <n v="0"/>
    <x v="5"/>
  </r>
  <r>
    <n v="6"/>
    <x v="5"/>
    <x v="30"/>
    <x v="4"/>
    <n v="83200"/>
    <n v="0"/>
    <x v="5"/>
  </r>
  <r>
    <n v="7"/>
    <x v="6"/>
    <x v="0"/>
    <x v="0"/>
    <n v="104223"/>
    <n v="0"/>
    <x v="6"/>
  </r>
  <r>
    <n v="7"/>
    <x v="6"/>
    <x v="0"/>
    <x v="0"/>
    <n v="20000"/>
    <n v="0"/>
    <x v="6"/>
  </r>
  <r>
    <n v="7"/>
    <x v="6"/>
    <x v="3"/>
    <x v="0"/>
    <n v="60000"/>
    <n v="0"/>
    <x v="6"/>
  </r>
  <r>
    <n v="7"/>
    <x v="6"/>
    <x v="4"/>
    <x v="0"/>
    <n v="0"/>
    <n v="15000"/>
    <x v="6"/>
  </r>
  <r>
    <n v="7"/>
    <x v="6"/>
    <x v="5"/>
    <x v="2"/>
    <n v="5568"/>
    <n v="0"/>
    <x v="6"/>
  </r>
  <r>
    <n v="7"/>
    <x v="6"/>
    <x v="9"/>
    <x v="2"/>
    <n v="0"/>
    <n v="2500"/>
    <x v="6"/>
  </r>
  <r>
    <n v="7"/>
    <x v="6"/>
    <x v="10"/>
    <x v="0"/>
    <n v="20852.5"/>
    <n v="0"/>
    <x v="6"/>
  </r>
  <r>
    <n v="7"/>
    <x v="6"/>
    <x v="11"/>
    <x v="0"/>
    <n v="0"/>
    <n v="49247.8"/>
    <x v="6"/>
  </r>
  <r>
    <n v="7"/>
    <x v="6"/>
    <x v="25"/>
    <x v="0"/>
    <n v="22846.25"/>
    <n v="0"/>
    <x v="6"/>
  </r>
  <r>
    <n v="7"/>
    <x v="6"/>
    <x v="14"/>
    <x v="3"/>
    <n v="8120"/>
    <n v="0"/>
    <x v="6"/>
  </r>
  <r>
    <n v="7"/>
    <x v="6"/>
    <x v="15"/>
    <x v="3"/>
    <n v="0"/>
    <n v="12000"/>
    <x v="6"/>
  </r>
  <r>
    <n v="7"/>
    <x v="6"/>
    <x v="28"/>
    <x v="2"/>
    <n v="0"/>
    <n v="9588.2800000000007"/>
    <x v="6"/>
  </r>
  <r>
    <n v="7"/>
    <x v="6"/>
    <x v="18"/>
    <x v="0"/>
    <n v="0"/>
    <n v="22800"/>
    <x v="6"/>
  </r>
  <r>
    <n v="7"/>
    <x v="6"/>
    <x v="18"/>
    <x v="0"/>
    <n v="28500"/>
    <n v="0"/>
    <x v="6"/>
  </r>
  <r>
    <n v="7"/>
    <x v="6"/>
    <x v="21"/>
    <x v="3"/>
    <n v="0"/>
    <n v="8000"/>
    <x v="6"/>
  </r>
  <r>
    <n v="7"/>
    <x v="6"/>
    <x v="31"/>
    <x v="4"/>
    <n v="260435"/>
    <n v="0"/>
    <x v="6"/>
  </r>
  <r>
    <n v="7"/>
    <x v="6"/>
    <x v="32"/>
    <x v="2"/>
    <n v="12000"/>
    <n v="0"/>
    <x v="6"/>
  </r>
  <r>
    <n v="7"/>
    <x v="6"/>
    <x v="33"/>
    <x v="1"/>
    <n v="50000"/>
    <n v="0"/>
    <x v="6"/>
  </r>
  <r>
    <n v="7"/>
    <x v="6"/>
    <x v="34"/>
    <x v="2"/>
    <n v="2000"/>
    <n v="0"/>
    <x v="6"/>
  </r>
  <r>
    <n v="8"/>
    <x v="7"/>
    <x v="0"/>
    <x v="0"/>
    <n v="125037"/>
    <n v="0"/>
    <x v="7"/>
  </r>
  <r>
    <n v="8"/>
    <x v="7"/>
    <x v="4"/>
    <x v="0"/>
    <n v="10000"/>
    <n v="0"/>
    <x v="7"/>
  </r>
  <r>
    <n v="8"/>
    <x v="7"/>
    <x v="24"/>
    <x v="0"/>
    <n v="7308"/>
    <n v="0"/>
    <x v="7"/>
  </r>
  <r>
    <n v="8"/>
    <x v="7"/>
    <x v="9"/>
    <x v="2"/>
    <n v="0"/>
    <n v="2500"/>
    <x v="7"/>
  </r>
  <r>
    <n v="8"/>
    <x v="7"/>
    <x v="11"/>
    <x v="0"/>
    <n v="0"/>
    <n v="49247.8"/>
    <x v="7"/>
  </r>
  <r>
    <n v="8"/>
    <x v="7"/>
    <x v="15"/>
    <x v="3"/>
    <n v="0"/>
    <n v="12000"/>
    <x v="7"/>
  </r>
  <r>
    <n v="8"/>
    <x v="7"/>
    <x v="28"/>
    <x v="2"/>
    <n v="0"/>
    <n v="9588.2800000000007"/>
    <x v="7"/>
  </r>
  <r>
    <n v="8"/>
    <x v="7"/>
    <x v="18"/>
    <x v="0"/>
    <n v="0"/>
    <n v="22800"/>
    <x v="7"/>
  </r>
  <r>
    <n v="8"/>
    <x v="7"/>
    <x v="35"/>
    <x v="4"/>
    <n v="9280"/>
    <n v="0"/>
    <x v="7"/>
  </r>
  <r>
    <n v="8"/>
    <x v="7"/>
    <x v="36"/>
    <x v="5"/>
    <n v="10000"/>
    <n v="0"/>
    <x v="7"/>
  </r>
  <r>
    <n v="8"/>
    <x v="7"/>
    <x v="37"/>
    <x v="4"/>
    <n v="6020.4"/>
    <n v="0"/>
    <x v="7"/>
  </r>
  <r>
    <n v="8"/>
    <x v="7"/>
    <x v="38"/>
    <x v="2"/>
    <n v="3014.2"/>
    <n v="0"/>
    <x v="7"/>
  </r>
  <r>
    <n v="9"/>
    <x v="8"/>
    <x v="0"/>
    <x v="0"/>
    <n v="95000"/>
    <n v="0"/>
    <x v="8"/>
  </r>
  <r>
    <n v="9"/>
    <x v="8"/>
    <x v="10"/>
    <x v="0"/>
    <n v="17800"/>
    <n v="0"/>
    <x v="8"/>
  </r>
  <r>
    <n v="9"/>
    <x v="8"/>
    <x v="4"/>
    <x v="0"/>
    <n v="0"/>
    <n v="15000"/>
    <x v="8"/>
  </r>
  <r>
    <n v="9"/>
    <x v="8"/>
    <x v="10"/>
    <x v="0"/>
    <n v="0"/>
    <n v="2500"/>
    <x v="8"/>
  </r>
  <r>
    <n v="9"/>
    <x v="8"/>
    <x v="12"/>
    <x v="0"/>
    <n v="0"/>
    <n v="49247.8"/>
    <x v="8"/>
  </r>
  <r>
    <n v="9"/>
    <x v="8"/>
    <x v="28"/>
    <x v="2"/>
    <n v="0"/>
    <n v="12000"/>
    <x v="8"/>
  </r>
  <r>
    <n v="9"/>
    <x v="8"/>
    <x v="18"/>
    <x v="0"/>
    <n v="0"/>
    <n v="9588.2800000000007"/>
    <x v="8"/>
  </r>
  <r>
    <n v="9"/>
    <x v="8"/>
    <x v="18"/>
    <x v="0"/>
    <n v="0"/>
    <n v="22800"/>
    <x v="8"/>
  </r>
  <r>
    <n v="9"/>
    <x v="8"/>
    <x v="39"/>
    <x v="3"/>
    <n v="3981.94"/>
    <n v="0"/>
    <x v="8"/>
  </r>
  <r>
    <n v="9"/>
    <x v="8"/>
    <x v="40"/>
    <x v="4"/>
    <n v="2041.71"/>
    <n v="0"/>
    <x v="8"/>
  </r>
  <r>
    <n v="9"/>
    <x v="8"/>
    <x v="36"/>
    <x v="5"/>
    <n v="0"/>
    <n v="10000"/>
    <x v="8"/>
  </r>
  <r>
    <n v="9"/>
    <x v="8"/>
    <x v="41"/>
    <x v="0"/>
    <n v="15600"/>
    <n v="0"/>
    <x v="8"/>
  </r>
  <r>
    <n v="9"/>
    <x v="8"/>
    <x v="42"/>
    <x v="0"/>
    <n v="37500"/>
    <n v="0"/>
    <x v="8"/>
  </r>
  <r>
    <n v="10"/>
    <x v="9"/>
    <x v="0"/>
    <x v="0"/>
    <n v="73000"/>
    <n v="22000"/>
    <x v="9"/>
  </r>
  <r>
    <n v="10"/>
    <x v="9"/>
    <x v="10"/>
    <x v="0"/>
    <n v="10200"/>
    <n v="14950"/>
    <x v="9"/>
  </r>
  <r>
    <n v="10"/>
    <x v="9"/>
    <x v="4"/>
    <x v="0"/>
    <n v="0"/>
    <n v="15000"/>
    <x v="9"/>
  </r>
  <r>
    <n v="10"/>
    <x v="9"/>
    <x v="12"/>
    <x v="0"/>
    <n v="0"/>
    <n v="49247.8"/>
    <x v="9"/>
  </r>
  <r>
    <n v="10"/>
    <x v="9"/>
    <x v="14"/>
    <x v="3"/>
    <n v="0"/>
    <n v="15660"/>
    <x v="9"/>
  </r>
  <r>
    <n v="10"/>
    <x v="9"/>
    <x v="28"/>
    <x v="2"/>
    <n v="0"/>
    <n v="5802"/>
    <x v="9"/>
  </r>
  <r>
    <n v="10"/>
    <x v="9"/>
    <x v="18"/>
    <x v="0"/>
    <n v="0"/>
    <n v="37000"/>
    <x v="9"/>
  </r>
  <r>
    <n v="10"/>
    <x v="9"/>
    <x v="43"/>
    <x v="3"/>
    <n v="0"/>
    <n v="8460.6"/>
    <x v="9"/>
  </r>
  <r>
    <n v="10"/>
    <x v="9"/>
    <x v="26"/>
    <x v="3"/>
    <n v="0"/>
    <n v="9744"/>
    <x v="9"/>
  </r>
  <r>
    <n v="10"/>
    <x v="9"/>
    <x v="44"/>
    <x v="2"/>
    <n v="0"/>
    <n v="7389.2"/>
    <x v="9"/>
  </r>
  <r>
    <n v="10"/>
    <x v="9"/>
    <x v="45"/>
    <x v="0"/>
    <n v="0"/>
    <n v="9570"/>
    <x v="9"/>
  </r>
  <r>
    <n v="10"/>
    <x v="9"/>
    <x v="46"/>
    <x v="4"/>
    <n v="0"/>
    <n v="246.44"/>
    <x v="9"/>
  </r>
  <r>
    <n v="10"/>
    <x v="9"/>
    <x v="47"/>
    <x v="4"/>
    <n v="0"/>
    <n v="593.5"/>
    <x v="9"/>
  </r>
  <r>
    <n v="10"/>
    <x v="9"/>
    <x v="48"/>
    <x v="5"/>
    <n v="0"/>
    <n v="7900"/>
    <x v="9"/>
  </r>
  <r>
    <n v="10"/>
    <x v="9"/>
    <x v="49"/>
    <x v="6"/>
    <n v="0"/>
    <n v="47000"/>
    <x v="9"/>
  </r>
  <r>
    <n v="10"/>
    <x v="9"/>
    <x v="50"/>
    <x v="3"/>
    <n v="0"/>
    <n v="20000"/>
    <x v="9"/>
  </r>
  <r>
    <n v="10"/>
    <x v="9"/>
    <x v="26"/>
    <x v="3"/>
    <n v="0"/>
    <n v="13400"/>
    <x v="9"/>
  </r>
  <r>
    <n v="10"/>
    <x v="9"/>
    <x v="51"/>
    <x v="3"/>
    <n v="0"/>
    <n v="15000"/>
    <x v="9"/>
  </r>
  <r>
    <n v="11"/>
    <x v="10"/>
    <x v="0"/>
    <x v="0"/>
    <n v="95000"/>
    <n v="0"/>
    <x v="10"/>
  </r>
  <r>
    <n v="11"/>
    <x v="10"/>
    <x v="10"/>
    <x v="0"/>
    <n v="25250"/>
    <n v="0"/>
    <x v="10"/>
  </r>
  <r>
    <n v="11"/>
    <x v="10"/>
    <x v="12"/>
    <x v="0"/>
    <n v="0"/>
    <n v="49247.8"/>
    <x v="10"/>
  </r>
  <r>
    <n v="11"/>
    <x v="10"/>
    <x v="28"/>
    <x v="2"/>
    <n v="6632.96"/>
    <n v="0"/>
    <x v="10"/>
  </r>
  <r>
    <n v="11"/>
    <x v="10"/>
    <x v="49"/>
    <x v="6"/>
    <n v="0"/>
    <n v="47000"/>
    <x v="10"/>
  </r>
  <r>
    <n v="11"/>
    <x v="10"/>
    <x v="26"/>
    <x v="3"/>
    <n v="3897.6"/>
    <n v="0"/>
    <x v="10"/>
  </r>
  <r>
    <n v="11"/>
    <x v="10"/>
    <x v="52"/>
    <x v="3"/>
    <n v="16800"/>
    <n v="0"/>
    <x v="10"/>
  </r>
  <r>
    <n v="12"/>
    <x v="11"/>
    <x v="0"/>
    <x v="0"/>
    <n v="120000"/>
    <n v="0"/>
    <x v="11"/>
  </r>
  <r>
    <n v="12"/>
    <x v="11"/>
    <x v="10"/>
    <x v="0"/>
    <n v="14950"/>
    <n v="0"/>
    <x v="11"/>
  </r>
  <r>
    <n v="12"/>
    <x v="11"/>
    <x v="1"/>
    <x v="0"/>
    <n v="0"/>
    <n v="20000"/>
    <x v="11"/>
  </r>
  <r>
    <n v="12"/>
    <x v="11"/>
    <x v="4"/>
    <x v="0"/>
    <n v="15000"/>
    <n v="0"/>
    <x v="11"/>
  </r>
  <r>
    <n v="12"/>
    <x v="11"/>
    <x v="24"/>
    <x v="0"/>
    <n v="0"/>
    <n v="8526"/>
    <x v="11"/>
  </r>
  <r>
    <n v="12"/>
    <x v="11"/>
    <x v="12"/>
    <x v="0"/>
    <n v="0"/>
    <n v="49247.8"/>
    <x v="11"/>
  </r>
  <r>
    <n v="12"/>
    <x v="11"/>
    <x v="23"/>
    <x v="3"/>
    <n v="0"/>
    <n v="2987"/>
    <x v="11"/>
  </r>
  <r>
    <n v="12"/>
    <x v="11"/>
    <x v="14"/>
    <x v="3"/>
    <n v="0"/>
    <n v="16240"/>
    <x v="11"/>
  </r>
  <r>
    <n v="12"/>
    <x v="11"/>
    <x v="15"/>
    <x v="3"/>
    <n v="0"/>
    <n v="35178"/>
    <x v="11"/>
  </r>
  <r>
    <n v="12"/>
    <x v="11"/>
    <x v="28"/>
    <x v="2"/>
    <n v="13226"/>
    <n v="0"/>
    <x v="11"/>
  </r>
  <r>
    <n v="12"/>
    <x v="11"/>
    <x v="18"/>
    <x v="0"/>
    <n v="0"/>
    <n v="28500"/>
    <x v="11"/>
  </r>
  <r>
    <n v="12"/>
    <x v="11"/>
    <x v="18"/>
    <x v="0"/>
    <n v="0"/>
    <n v="25500"/>
    <x v="11"/>
  </r>
  <r>
    <n v="12"/>
    <x v="11"/>
    <x v="53"/>
    <x v="4"/>
    <n v="0"/>
    <n v="10000"/>
    <x v="11"/>
  </r>
  <r>
    <n v="12"/>
    <x v="11"/>
    <x v="44"/>
    <x v="2"/>
    <n v="0"/>
    <n v="5007"/>
    <x v="11"/>
  </r>
  <r>
    <n v="12"/>
    <x v="11"/>
    <x v="54"/>
    <x v="5"/>
    <n v="30000"/>
    <n v="10000"/>
    <x v="11"/>
  </r>
  <r>
    <n v="12"/>
    <x v="11"/>
    <x v="49"/>
    <x v="6"/>
    <n v="0"/>
    <n v="47000"/>
    <x v="11"/>
  </r>
  <r>
    <n v="12"/>
    <x v="11"/>
    <x v="55"/>
    <x v="3"/>
    <n v="0"/>
    <n v="8700"/>
    <x v="11"/>
  </r>
  <r>
    <n v="12"/>
    <x v="11"/>
    <x v="56"/>
    <x v="3"/>
    <n v="9802"/>
    <n v="0"/>
    <x v="11"/>
  </r>
  <r>
    <n v="13"/>
    <x v="12"/>
    <x v="0"/>
    <x v="0"/>
    <n v="110000"/>
    <n v="0"/>
    <x v="12"/>
  </r>
  <r>
    <n v="13"/>
    <x v="12"/>
    <x v="10"/>
    <x v="0"/>
    <n v="19950"/>
    <n v="0"/>
    <x v="12"/>
  </r>
  <r>
    <n v="13"/>
    <x v="12"/>
    <x v="1"/>
    <x v="0"/>
    <n v="29000"/>
    <n v="0"/>
    <x v="12"/>
  </r>
  <r>
    <n v="13"/>
    <x v="12"/>
    <x v="4"/>
    <x v="0"/>
    <n v="20000"/>
    <n v="0"/>
    <x v="12"/>
  </r>
  <r>
    <n v="13"/>
    <x v="12"/>
    <x v="24"/>
    <x v="0"/>
    <n v="0"/>
    <n v="8526"/>
    <x v="12"/>
  </r>
  <r>
    <n v="13"/>
    <x v="12"/>
    <x v="12"/>
    <x v="0"/>
    <n v="0"/>
    <n v="49247.8"/>
    <x v="12"/>
  </r>
  <r>
    <n v="13"/>
    <x v="12"/>
    <x v="15"/>
    <x v="3"/>
    <n v="0"/>
    <n v="35178"/>
    <x v="12"/>
  </r>
  <r>
    <n v="13"/>
    <x v="12"/>
    <x v="28"/>
    <x v="2"/>
    <n v="5608"/>
    <n v="0"/>
    <x v="12"/>
  </r>
  <r>
    <n v="13"/>
    <x v="12"/>
    <x v="18"/>
    <x v="0"/>
    <n v="0"/>
    <n v="28500"/>
    <x v="12"/>
  </r>
  <r>
    <n v="13"/>
    <x v="12"/>
    <x v="57"/>
    <x v="3"/>
    <n v="44000"/>
    <n v="0"/>
    <x v="12"/>
  </r>
  <r>
    <n v="13"/>
    <x v="12"/>
    <x v="54"/>
    <x v="5"/>
    <n v="0"/>
    <n v="30000"/>
    <x v="12"/>
  </r>
  <r>
    <n v="13"/>
    <x v="12"/>
    <x v="49"/>
    <x v="6"/>
    <n v="0"/>
    <n v="47000"/>
    <x v="12"/>
  </r>
  <r>
    <n v="13"/>
    <x v="12"/>
    <x v="56"/>
    <x v="3"/>
    <n v="0"/>
    <n v="9802"/>
    <x v="12"/>
  </r>
  <r>
    <n v="14"/>
    <x v="13"/>
    <x v="0"/>
    <x v="0"/>
    <n v="98000"/>
    <n v="12500"/>
    <x v="13"/>
  </r>
  <r>
    <n v="14"/>
    <x v="13"/>
    <x v="10"/>
    <x v="0"/>
    <n v="9950"/>
    <n v="0"/>
    <x v="13"/>
  </r>
  <r>
    <n v="14"/>
    <x v="13"/>
    <x v="1"/>
    <x v="0"/>
    <n v="27783.47"/>
    <n v="0"/>
    <x v="13"/>
  </r>
  <r>
    <n v="14"/>
    <x v="13"/>
    <x v="1"/>
    <x v="0"/>
    <n v="0"/>
    <n v="19105"/>
    <x v="13"/>
  </r>
  <r>
    <n v="14"/>
    <x v="13"/>
    <x v="23"/>
    <x v="3"/>
    <n v="3940.45"/>
    <n v="0"/>
    <x v="13"/>
  </r>
  <r>
    <n v="14"/>
    <x v="13"/>
    <x v="4"/>
    <x v="0"/>
    <n v="0"/>
    <n v="19999.8"/>
    <x v="13"/>
  </r>
  <r>
    <n v="14"/>
    <x v="13"/>
    <x v="24"/>
    <x v="0"/>
    <n v="0"/>
    <n v="8526"/>
    <x v="13"/>
  </r>
  <r>
    <n v="14"/>
    <x v="13"/>
    <x v="12"/>
    <x v="0"/>
    <n v="0"/>
    <n v="49247.8"/>
    <x v="13"/>
  </r>
  <r>
    <n v="14"/>
    <x v="13"/>
    <x v="15"/>
    <x v="3"/>
    <n v="0"/>
    <n v="35178"/>
    <x v="13"/>
  </r>
  <r>
    <n v="14"/>
    <x v="13"/>
    <x v="28"/>
    <x v="2"/>
    <n v="3920"/>
    <n v="0"/>
    <x v="13"/>
  </r>
  <r>
    <n v="14"/>
    <x v="13"/>
    <x v="18"/>
    <x v="0"/>
    <n v="28500"/>
    <n v="0"/>
    <x v="13"/>
  </r>
  <r>
    <n v="14"/>
    <x v="13"/>
    <x v="58"/>
    <x v="3"/>
    <n v="2728.32"/>
    <n v="0"/>
    <x v="13"/>
  </r>
  <r>
    <n v="14"/>
    <x v="13"/>
    <x v="57"/>
    <x v="3"/>
    <n v="33328.910000000003"/>
    <n v="9280"/>
    <x v="13"/>
  </r>
  <r>
    <n v="14"/>
    <x v="13"/>
    <x v="54"/>
    <x v="5"/>
    <n v="0"/>
    <n v="30000"/>
    <x v="13"/>
  </r>
  <r>
    <n v="14"/>
    <x v="13"/>
    <x v="49"/>
    <x v="6"/>
    <n v="0"/>
    <n v="47000"/>
    <x v="13"/>
  </r>
  <r>
    <n v="14"/>
    <x v="13"/>
    <x v="55"/>
    <x v="3"/>
    <n v="0"/>
    <n v="5800"/>
    <x v="13"/>
  </r>
  <r>
    <n v="14"/>
    <x v="13"/>
    <x v="59"/>
    <x v="4"/>
    <n v="2400"/>
    <n v="0"/>
    <x v="13"/>
  </r>
  <r>
    <n v="14"/>
    <x v="13"/>
    <x v="60"/>
    <x v="4"/>
    <n v="0"/>
    <n v="2028.84"/>
    <x v="13"/>
  </r>
  <r>
    <n v="15"/>
    <x v="14"/>
    <x v="0"/>
    <x v="0"/>
    <n v="110000"/>
    <n v="110000"/>
    <x v="14"/>
  </r>
  <r>
    <n v="15"/>
    <x v="14"/>
    <x v="10"/>
    <x v="0"/>
    <n v="18750"/>
    <n v="20000"/>
    <x v="14"/>
  </r>
  <r>
    <n v="15"/>
    <x v="14"/>
    <x v="1"/>
    <x v="0"/>
    <n v="0"/>
    <n v="30000"/>
    <x v="14"/>
  </r>
  <r>
    <n v="15"/>
    <x v="14"/>
    <x v="23"/>
    <x v="3"/>
    <n v="5916"/>
    <n v="0"/>
    <x v="14"/>
  </r>
  <r>
    <n v="15"/>
    <x v="14"/>
    <x v="4"/>
    <x v="0"/>
    <n v="19999.8"/>
    <n v="10000"/>
    <x v="14"/>
  </r>
  <r>
    <n v="15"/>
    <x v="14"/>
    <x v="24"/>
    <x v="0"/>
    <n v="0"/>
    <n v="8526"/>
    <x v="14"/>
  </r>
  <r>
    <n v="15"/>
    <x v="14"/>
    <x v="12"/>
    <x v="0"/>
    <n v="0"/>
    <n v="49247.8"/>
    <x v="14"/>
  </r>
  <r>
    <n v="15"/>
    <x v="14"/>
    <x v="25"/>
    <x v="0"/>
    <n v="4045.02"/>
    <n v="0"/>
    <x v="14"/>
  </r>
  <r>
    <n v="15"/>
    <x v="14"/>
    <x v="61"/>
    <x v="4"/>
    <n v="20000"/>
    <n v="0"/>
    <x v="14"/>
  </r>
  <r>
    <n v="15"/>
    <x v="14"/>
    <x v="28"/>
    <x v="2"/>
    <n v="1575"/>
    <n v="0"/>
    <x v="14"/>
  </r>
  <r>
    <n v="15"/>
    <x v="14"/>
    <x v="57"/>
    <x v="3"/>
    <n v="0"/>
    <n v="42000"/>
    <x v="14"/>
  </r>
  <r>
    <n v="15"/>
    <x v="14"/>
    <x v="54"/>
    <x v="5"/>
    <n v="0"/>
    <n v="45000"/>
    <x v="14"/>
  </r>
  <r>
    <n v="15"/>
    <x v="14"/>
    <x v="49"/>
    <x v="6"/>
    <n v="0"/>
    <n v="47000"/>
    <x v="14"/>
  </r>
  <r>
    <n v="15"/>
    <x v="14"/>
    <x v="55"/>
    <x v="3"/>
    <n v="7250"/>
    <n v="0"/>
    <x v="14"/>
  </r>
  <r>
    <n v="15"/>
    <x v="14"/>
    <x v="56"/>
    <x v="3"/>
    <n v="9802"/>
    <n v="0"/>
    <x v="14"/>
  </r>
  <r>
    <n v="15"/>
    <x v="14"/>
    <x v="62"/>
    <x v="4"/>
    <n v="0"/>
    <n v="15000"/>
    <x v="14"/>
  </r>
  <r>
    <n v="15"/>
    <x v="14"/>
    <x v="63"/>
    <x v="4"/>
    <n v="8000"/>
    <n v="0"/>
    <x v="14"/>
  </r>
  <r>
    <n v="16"/>
    <x v="15"/>
    <x v="0"/>
    <x v="0"/>
    <n v="100000"/>
    <n v="0"/>
    <x v="15"/>
  </r>
  <r>
    <n v="16"/>
    <x v="15"/>
    <x v="10"/>
    <x v="0"/>
    <n v="21800"/>
    <n v="0"/>
    <x v="15"/>
  </r>
  <r>
    <n v="16"/>
    <x v="15"/>
    <x v="1"/>
    <x v="0"/>
    <n v="30000"/>
    <n v="30000"/>
    <x v="15"/>
  </r>
  <r>
    <n v="16"/>
    <x v="15"/>
    <x v="4"/>
    <x v="0"/>
    <n v="10000"/>
    <n v="10000"/>
    <x v="15"/>
  </r>
  <r>
    <n v="16"/>
    <x v="15"/>
    <x v="25"/>
    <x v="0"/>
    <n v="10000"/>
    <n v="0"/>
    <x v="15"/>
  </r>
  <r>
    <n v="16"/>
    <x v="15"/>
    <x v="28"/>
    <x v="2"/>
    <n v="5115.6000000000004"/>
    <n v="0"/>
    <x v="15"/>
  </r>
  <r>
    <n v="16"/>
    <x v="15"/>
    <x v="57"/>
    <x v="3"/>
    <n v="0"/>
    <n v="42000"/>
    <x v="15"/>
  </r>
  <r>
    <n v="16"/>
    <x v="15"/>
    <x v="54"/>
    <x v="5"/>
    <n v="0"/>
    <n v="15000"/>
    <x v="15"/>
  </r>
  <r>
    <n v="16"/>
    <x v="15"/>
    <x v="55"/>
    <x v="3"/>
    <n v="7250"/>
    <n v="0"/>
    <x v="15"/>
  </r>
  <r>
    <n v="16"/>
    <x v="15"/>
    <x v="56"/>
    <x v="3"/>
    <n v="9802"/>
    <n v="0"/>
    <x v="15"/>
  </r>
  <r>
    <n v="16"/>
    <x v="15"/>
    <x v="64"/>
    <x v="4"/>
    <n v="6500"/>
    <n v="6500"/>
    <x v="15"/>
  </r>
  <r>
    <n v="17"/>
    <x v="16"/>
    <x v="0"/>
    <x v="0"/>
    <n v="110000"/>
    <n v="70000"/>
    <x v="16"/>
  </r>
  <r>
    <n v="17"/>
    <x v="16"/>
    <x v="10"/>
    <x v="0"/>
    <n v="19950"/>
    <n v="0"/>
    <x v="16"/>
  </r>
  <r>
    <n v="17"/>
    <x v="16"/>
    <x v="1"/>
    <x v="0"/>
    <n v="30000"/>
    <n v="45000"/>
    <x v="16"/>
  </r>
  <r>
    <n v="17"/>
    <x v="16"/>
    <x v="65"/>
    <x v="3"/>
    <n v="0"/>
    <n v="8961"/>
    <x v="16"/>
  </r>
  <r>
    <n v="17"/>
    <x v="16"/>
    <x v="4"/>
    <x v="0"/>
    <n v="0"/>
    <n v="10000"/>
    <x v="16"/>
  </r>
  <r>
    <n v="17"/>
    <x v="16"/>
    <x v="25"/>
    <x v="0"/>
    <n v="6811.7"/>
    <n v="0"/>
    <x v="16"/>
  </r>
  <r>
    <n v="17"/>
    <x v="16"/>
    <x v="28"/>
    <x v="2"/>
    <n v="5457.9"/>
    <n v="2940"/>
    <x v="16"/>
  </r>
  <r>
    <n v="17"/>
    <x v="16"/>
    <x v="18"/>
    <x v="0"/>
    <n v="0"/>
    <n v="28500"/>
    <x v="16"/>
  </r>
  <r>
    <n v="17"/>
    <x v="16"/>
    <x v="57"/>
    <x v="3"/>
    <n v="20000"/>
    <n v="28477.37"/>
    <x v="16"/>
  </r>
  <r>
    <n v="17"/>
    <x v="16"/>
    <x v="54"/>
    <x v="5"/>
    <n v="0"/>
    <n v="25000"/>
    <x v="16"/>
  </r>
  <r>
    <n v="17"/>
    <x v="16"/>
    <x v="55"/>
    <x v="3"/>
    <n v="0"/>
    <n v="7250"/>
    <x v="16"/>
  </r>
  <r>
    <n v="17"/>
    <x v="16"/>
    <x v="56"/>
    <x v="3"/>
    <n v="1896.6"/>
    <n v="15549.8"/>
    <x v="16"/>
  </r>
  <r>
    <n v="17"/>
    <x v="16"/>
    <x v="66"/>
    <x v="4"/>
    <n v="8120"/>
    <n v="0"/>
    <x v="16"/>
  </r>
  <r>
    <n v="17"/>
    <x v="16"/>
    <x v="67"/>
    <x v="3"/>
    <n v="2868"/>
    <n v="2868"/>
    <x v="16"/>
  </r>
  <r>
    <n v="18"/>
    <x v="17"/>
    <x v="0"/>
    <x v="0"/>
    <n v="110000"/>
    <n v="0"/>
    <x v="17"/>
  </r>
  <r>
    <n v="18"/>
    <x v="17"/>
    <x v="10"/>
    <x v="0"/>
    <n v="22000"/>
    <n v="0"/>
    <x v="17"/>
  </r>
  <r>
    <n v="18"/>
    <x v="17"/>
    <x v="1"/>
    <x v="0"/>
    <n v="24415.439999999999"/>
    <n v="0"/>
    <x v="17"/>
  </r>
  <r>
    <n v="18"/>
    <x v="17"/>
    <x v="65"/>
    <x v="3"/>
    <n v="1493.5"/>
    <n v="7467.5"/>
    <x v="17"/>
  </r>
  <r>
    <n v="18"/>
    <x v="17"/>
    <x v="4"/>
    <x v="0"/>
    <n v="0"/>
    <n v="10000"/>
    <x v="17"/>
  </r>
  <r>
    <n v="18"/>
    <x v="17"/>
    <x v="28"/>
    <x v="2"/>
    <n v="6822.9840000000004"/>
    <n v="0"/>
    <x v="17"/>
  </r>
  <r>
    <n v="18"/>
    <x v="17"/>
    <x v="18"/>
    <x v="0"/>
    <n v="0"/>
    <n v="28500"/>
    <x v="17"/>
  </r>
  <r>
    <n v="18"/>
    <x v="17"/>
    <x v="68"/>
    <x v="3"/>
    <n v="0"/>
    <n v="15370"/>
    <x v="17"/>
  </r>
  <r>
    <n v="18"/>
    <x v="17"/>
    <x v="57"/>
    <x v="3"/>
    <n v="0"/>
    <n v="28477.37"/>
    <x v="17"/>
  </r>
  <r>
    <n v="18"/>
    <x v="17"/>
    <x v="54"/>
    <x v="5"/>
    <n v="0"/>
    <n v="25000"/>
    <x v="17"/>
  </r>
  <r>
    <n v="18"/>
    <x v="17"/>
    <x v="55"/>
    <x v="3"/>
    <n v="0"/>
    <n v="7250"/>
    <x v="17"/>
  </r>
  <r>
    <n v="18"/>
    <x v="17"/>
    <x v="61"/>
    <x v="4"/>
    <n v="20000"/>
    <n v="0"/>
    <x v="17"/>
  </r>
  <r>
    <n v="18"/>
    <x v="17"/>
    <x v="69"/>
    <x v="4"/>
    <n v="2400"/>
    <n v="0"/>
    <x v="17"/>
  </r>
  <r>
    <n v="19"/>
    <x v="18"/>
    <x v="0"/>
    <x v="0"/>
    <n v="10000"/>
    <n v="100000"/>
    <x v="18"/>
  </r>
  <r>
    <n v="19"/>
    <x v="18"/>
    <x v="70"/>
    <x v="0"/>
    <n v="10800"/>
    <n v="10800"/>
    <x v="18"/>
  </r>
  <r>
    <n v="19"/>
    <x v="18"/>
    <x v="10"/>
    <x v="0"/>
    <n v="10000"/>
    <n v="8950"/>
    <x v="18"/>
  </r>
  <r>
    <n v="19"/>
    <x v="18"/>
    <x v="1"/>
    <x v="0"/>
    <n v="0"/>
    <n v="35000"/>
    <x v="18"/>
  </r>
  <r>
    <n v="19"/>
    <x v="18"/>
    <x v="65"/>
    <x v="3"/>
    <n v="0"/>
    <n v="7467.5"/>
    <x v="18"/>
  </r>
  <r>
    <n v="19"/>
    <x v="18"/>
    <x v="4"/>
    <x v="0"/>
    <n v="0"/>
    <n v="10000"/>
    <x v="18"/>
  </r>
  <r>
    <n v="19"/>
    <x v="18"/>
    <x v="5"/>
    <x v="2"/>
    <n v="3828"/>
    <n v="0"/>
    <x v="18"/>
  </r>
  <r>
    <n v="19"/>
    <x v="18"/>
    <x v="71"/>
    <x v="4"/>
    <n v="14500"/>
    <n v="0"/>
    <x v="18"/>
  </r>
  <r>
    <n v="19"/>
    <x v="18"/>
    <x v="28"/>
    <x v="2"/>
    <n v="6323.1"/>
    <n v="0"/>
    <x v="18"/>
  </r>
  <r>
    <n v="19"/>
    <x v="18"/>
    <x v="58"/>
    <x v="3"/>
    <n v="3410"/>
    <n v="0"/>
    <x v="18"/>
  </r>
  <r>
    <n v="19"/>
    <x v="18"/>
    <x v="57"/>
    <x v="3"/>
    <n v="0"/>
    <n v="61642.400000000001"/>
    <x v="18"/>
  </r>
  <r>
    <n v="19"/>
    <x v="18"/>
    <x v="54"/>
    <x v="5"/>
    <n v="0"/>
    <n v="25000"/>
    <x v="18"/>
  </r>
  <r>
    <n v="19"/>
    <x v="18"/>
    <x v="55"/>
    <x v="3"/>
    <n v="0"/>
    <n v="7250"/>
    <x v="18"/>
  </r>
  <r>
    <n v="19"/>
    <x v="18"/>
    <x v="72"/>
    <x v="4"/>
    <n v="7499"/>
    <n v="0"/>
    <x v="18"/>
  </r>
  <r>
    <n v="20"/>
    <x v="19"/>
    <x v="0"/>
    <x v="0"/>
    <n v="100000"/>
    <n v="0"/>
    <x v="19"/>
  </r>
  <r>
    <n v="20"/>
    <x v="19"/>
    <x v="70"/>
    <x v="0"/>
    <n v="10800"/>
    <n v="0"/>
    <x v="19"/>
  </r>
  <r>
    <n v="20"/>
    <x v="19"/>
    <x v="10"/>
    <x v="0"/>
    <n v="16950"/>
    <n v="0"/>
    <x v="19"/>
  </r>
  <r>
    <n v="20"/>
    <x v="19"/>
    <x v="4"/>
    <x v="0"/>
    <n v="10000"/>
    <n v="0"/>
    <x v="19"/>
  </r>
  <r>
    <n v="20"/>
    <x v="19"/>
    <x v="73"/>
    <x v="4"/>
    <n v="2501.41"/>
    <n v="0"/>
    <x v="19"/>
  </r>
  <r>
    <n v="20"/>
    <x v="19"/>
    <x v="28"/>
    <x v="2"/>
    <n v="5365.5"/>
    <n v="0"/>
    <x v="19"/>
  </r>
  <r>
    <n v="20"/>
    <x v="19"/>
    <x v="57"/>
    <x v="3"/>
    <n v="0"/>
    <n v="61642.400000000001"/>
    <x v="19"/>
  </r>
  <r>
    <n v="20"/>
    <x v="19"/>
    <x v="54"/>
    <x v="5"/>
    <n v="0"/>
    <n v="25000"/>
    <x v="19"/>
  </r>
  <r>
    <n v="20"/>
    <x v="19"/>
    <x v="55"/>
    <x v="3"/>
    <n v="0"/>
    <n v="7250"/>
    <x v="19"/>
  </r>
  <r>
    <n v="20"/>
    <x v="19"/>
    <x v="61"/>
    <x v="4"/>
    <n v="0"/>
    <n v="20000"/>
    <x v="19"/>
  </r>
  <r>
    <n v="20"/>
    <x v="19"/>
    <x v="74"/>
    <x v="4"/>
    <n v="50000"/>
    <n v="0"/>
    <x v="19"/>
  </r>
  <r>
    <n v="20"/>
    <x v="19"/>
    <x v="75"/>
    <x v="4"/>
    <n v="7540"/>
    <n v="0"/>
    <x v="19"/>
  </r>
  <r>
    <n v="21"/>
    <x v="20"/>
    <x v="0"/>
    <x v="0"/>
    <n v="105000"/>
    <n v="0"/>
    <x v="20"/>
  </r>
  <r>
    <n v="21"/>
    <x v="20"/>
    <x v="10"/>
    <x v="0"/>
    <n v="17950"/>
    <n v="0"/>
    <x v="20"/>
  </r>
  <r>
    <n v="21"/>
    <x v="20"/>
    <x v="4"/>
    <x v="0"/>
    <n v="0"/>
    <n v="10000"/>
    <x v="20"/>
  </r>
  <r>
    <n v="21"/>
    <x v="20"/>
    <x v="28"/>
    <x v="2"/>
    <n v="5163.8999999999996"/>
    <n v="0"/>
    <x v="20"/>
  </r>
  <r>
    <n v="21"/>
    <x v="20"/>
    <x v="57"/>
    <x v="3"/>
    <n v="0"/>
    <n v="61642.400000000001"/>
    <x v="20"/>
  </r>
  <r>
    <n v="21"/>
    <x v="20"/>
    <x v="54"/>
    <x v="5"/>
    <n v="0"/>
    <n v="25000"/>
    <x v="20"/>
  </r>
  <r>
    <n v="21"/>
    <x v="20"/>
    <x v="55"/>
    <x v="3"/>
    <n v="0"/>
    <n v="7250"/>
    <x v="20"/>
  </r>
  <r>
    <n v="21"/>
    <x v="20"/>
    <x v="61"/>
    <x v="4"/>
    <n v="20000"/>
    <n v="0"/>
    <x v="20"/>
  </r>
  <r>
    <n v="21"/>
    <x v="20"/>
    <x v="74"/>
    <x v="4"/>
    <n v="0"/>
    <n v="50000"/>
    <x v="20"/>
  </r>
  <r>
    <n v="22"/>
    <x v="21"/>
    <x v="0"/>
    <x v="0"/>
    <n v="78000"/>
    <n v="0"/>
    <x v="21"/>
  </r>
  <r>
    <n v="22"/>
    <x v="21"/>
    <x v="70"/>
    <x v="0"/>
    <n v="12000"/>
    <n v="0"/>
    <x v="21"/>
  </r>
  <r>
    <n v="22"/>
    <x v="21"/>
    <x v="10"/>
    <x v="0"/>
    <n v="21950"/>
    <n v="0"/>
    <x v="21"/>
  </r>
  <r>
    <n v="22"/>
    <x v="21"/>
    <x v="4"/>
    <x v="0"/>
    <n v="0"/>
    <n v="10000"/>
    <x v="21"/>
  </r>
  <r>
    <n v="22"/>
    <x v="21"/>
    <x v="5"/>
    <x v="2"/>
    <n v="2784"/>
    <n v="0"/>
    <x v="21"/>
  </r>
  <r>
    <n v="22"/>
    <x v="21"/>
    <x v="76"/>
    <x v="0"/>
    <n v="3795.02"/>
    <n v="0"/>
    <x v="21"/>
  </r>
  <r>
    <n v="22"/>
    <x v="21"/>
    <x v="28"/>
    <x v="2"/>
    <n v="4701.8999999999996"/>
    <n v="0"/>
    <x v="21"/>
  </r>
  <r>
    <n v="22"/>
    <x v="21"/>
    <x v="57"/>
    <x v="3"/>
    <n v="0"/>
    <n v="61642.400000000001"/>
    <x v="21"/>
  </r>
  <r>
    <n v="22"/>
    <x v="21"/>
    <x v="54"/>
    <x v="5"/>
    <n v="0"/>
    <n v="25000"/>
    <x v="21"/>
  </r>
  <r>
    <n v="22"/>
    <x v="21"/>
    <x v="55"/>
    <x v="3"/>
    <n v="0"/>
    <n v="7250"/>
    <x v="21"/>
  </r>
  <r>
    <n v="22"/>
    <x v="21"/>
    <x v="56"/>
    <x v="3"/>
    <n v="9135"/>
    <n v="0"/>
    <x v="21"/>
  </r>
  <r>
    <n v="22"/>
    <x v="21"/>
    <x v="74"/>
    <x v="4"/>
    <n v="0"/>
    <n v="50000"/>
    <x v="21"/>
  </r>
  <r>
    <n v="23"/>
    <x v="22"/>
    <x v="0"/>
    <x v="0"/>
    <n v="105000"/>
    <n v="0"/>
    <x v="22"/>
  </r>
  <r>
    <n v="23"/>
    <x v="22"/>
    <x v="10"/>
    <x v="0"/>
    <n v="20000"/>
    <n v="0"/>
    <x v="22"/>
  </r>
  <r>
    <n v="23"/>
    <x v="22"/>
    <x v="1"/>
    <x v="0"/>
    <n v="0"/>
    <n v="70000"/>
    <x v="22"/>
  </r>
  <r>
    <n v="23"/>
    <x v="22"/>
    <x v="4"/>
    <x v="0"/>
    <n v="10000"/>
    <n v="0"/>
    <x v="22"/>
  </r>
  <r>
    <n v="23"/>
    <x v="22"/>
    <x v="5"/>
    <x v="2"/>
    <n v="0"/>
    <n v="2784"/>
    <x v="22"/>
  </r>
  <r>
    <n v="23"/>
    <x v="22"/>
    <x v="24"/>
    <x v="0"/>
    <n v="0"/>
    <n v="6970"/>
    <x v="22"/>
  </r>
  <r>
    <n v="23"/>
    <x v="22"/>
    <x v="76"/>
    <x v="0"/>
    <n v="0"/>
    <n v="3795.01"/>
    <x v="22"/>
  </r>
  <r>
    <n v="23"/>
    <x v="22"/>
    <x v="77"/>
    <x v="2"/>
    <n v="0"/>
    <n v="15000"/>
    <x v="22"/>
  </r>
  <r>
    <n v="23"/>
    <x v="22"/>
    <x v="40"/>
    <x v="4"/>
    <n v="0"/>
    <n v="1186.3599999999999"/>
    <x v="22"/>
  </r>
  <r>
    <n v="23"/>
    <x v="22"/>
    <x v="78"/>
    <x v="3"/>
    <n v="0"/>
    <n v="32480"/>
    <x v="22"/>
  </r>
  <r>
    <n v="23"/>
    <x v="22"/>
    <x v="28"/>
    <x v="2"/>
    <n v="5250"/>
    <n v="0"/>
    <x v="22"/>
  </r>
  <r>
    <n v="23"/>
    <x v="22"/>
    <x v="58"/>
    <x v="3"/>
    <n v="0"/>
    <n v="3970.21"/>
    <x v="22"/>
  </r>
  <r>
    <n v="23"/>
    <x v="22"/>
    <x v="68"/>
    <x v="3"/>
    <n v="0"/>
    <n v="15370"/>
    <x v="22"/>
  </r>
  <r>
    <n v="23"/>
    <x v="22"/>
    <x v="68"/>
    <x v="3"/>
    <n v="0"/>
    <n v="15370"/>
    <x v="22"/>
  </r>
  <r>
    <n v="23"/>
    <x v="22"/>
    <x v="79"/>
    <x v="3"/>
    <n v="30000"/>
    <n v="61642.400000000001"/>
    <x v="22"/>
  </r>
  <r>
    <n v="23"/>
    <x v="22"/>
    <x v="44"/>
    <x v="2"/>
    <n v="0"/>
    <n v="4750.2"/>
    <x v="22"/>
  </r>
  <r>
    <n v="23"/>
    <x v="22"/>
    <x v="80"/>
    <x v="5"/>
    <n v="9676.4500000000007"/>
    <n v="0"/>
    <x v="22"/>
  </r>
  <r>
    <n v="23"/>
    <x v="22"/>
    <x v="36"/>
    <x v="5"/>
    <n v="12652.68"/>
    <n v="0"/>
    <x v="22"/>
  </r>
  <r>
    <n v="23"/>
    <x v="22"/>
    <x v="55"/>
    <x v="3"/>
    <n v="0"/>
    <n v="7250"/>
    <x v="22"/>
  </r>
  <r>
    <n v="23"/>
    <x v="22"/>
    <x v="56"/>
    <x v="3"/>
    <n v="18270"/>
    <n v="9135"/>
    <x v="22"/>
  </r>
  <r>
    <n v="23"/>
    <x v="22"/>
    <x v="81"/>
    <x v="5"/>
    <n v="0"/>
    <n v="32000"/>
    <x v="22"/>
  </r>
  <r>
    <n v="24"/>
    <x v="23"/>
    <x v="0"/>
    <x v="0"/>
    <n v="110000"/>
    <n v="0"/>
    <x v="23"/>
  </r>
  <r>
    <n v="24"/>
    <x v="23"/>
    <x v="10"/>
    <x v="0"/>
    <n v="31050"/>
    <n v="0"/>
    <x v="23"/>
  </r>
  <r>
    <n v="24"/>
    <x v="23"/>
    <x v="1"/>
    <x v="0"/>
    <n v="40426.65"/>
    <n v="0"/>
    <x v="23"/>
  </r>
  <r>
    <n v="24"/>
    <x v="23"/>
    <x v="65"/>
    <x v="3"/>
    <n v="13310.12"/>
    <n v="0"/>
    <x v="23"/>
  </r>
  <r>
    <n v="24"/>
    <x v="23"/>
    <x v="4"/>
    <x v="0"/>
    <n v="0"/>
    <n v="10000"/>
    <x v="23"/>
  </r>
  <r>
    <n v="24"/>
    <x v="23"/>
    <x v="5"/>
    <x v="2"/>
    <n v="0"/>
    <n v="2784"/>
    <x v="23"/>
  </r>
  <r>
    <n v="24"/>
    <x v="23"/>
    <x v="76"/>
    <x v="0"/>
    <n v="0"/>
    <n v="3795.01"/>
    <x v="23"/>
  </r>
  <r>
    <n v="24"/>
    <x v="23"/>
    <x v="77"/>
    <x v="2"/>
    <n v="0"/>
    <n v="15000"/>
    <x v="23"/>
  </r>
  <r>
    <n v="24"/>
    <x v="23"/>
    <x v="40"/>
    <x v="4"/>
    <n v="1441.56"/>
    <n v="0"/>
    <x v="23"/>
  </r>
  <r>
    <n v="24"/>
    <x v="23"/>
    <x v="28"/>
    <x v="2"/>
    <n v="13727.7"/>
    <n v="0"/>
    <x v="23"/>
  </r>
  <r>
    <n v="24"/>
    <x v="23"/>
    <x v="58"/>
    <x v="3"/>
    <n v="0"/>
    <n v="3970.21"/>
    <x v="23"/>
  </r>
  <r>
    <n v="24"/>
    <x v="23"/>
    <x v="68"/>
    <x v="3"/>
    <n v="0"/>
    <n v="15370"/>
    <x v="23"/>
  </r>
  <r>
    <n v="24"/>
    <x v="23"/>
    <x v="79"/>
    <x v="3"/>
    <n v="31642.400000000001"/>
    <n v="0"/>
    <x v="23"/>
  </r>
  <r>
    <n v="24"/>
    <x v="23"/>
    <x v="44"/>
    <x v="2"/>
    <n v="0"/>
    <n v="4750.2"/>
    <x v="23"/>
  </r>
  <r>
    <n v="24"/>
    <x v="23"/>
    <x v="36"/>
    <x v="5"/>
    <n v="20000"/>
    <n v="0"/>
    <x v="23"/>
  </r>
  <r>
    <n v="24"/>
    <x v="23"/>
    <x v="55"/>
    <x v="3"/>
    <n v="18000"/>
    <n v="0"/>
    <x v="23"/>
  </r>
  <r>
    <n v="24"/>
    <x v="23"/>
    <x v="56"/>
    <x v="3"/>
    <n v="28739"/>
    <n v="0"/>
    <x v="23"/>
  </r>
  <r>
    <n v="24"/>
    <x v="23"/>
    <x v="56"/>
    <x v="3"/>
    <n v="9802"/>
    <n v="0"/>
    <x v="23"/>
  </r>
  <r>
    <n v="24"/>
    <x v="23"/>
    <x v="38"/>
    <x v="2"/>
    <n v="2277.13"/>
    <n v="0"/>
    <x v="23"/>
  </r>
  <r>
    <n v="24"/>
    <x v="23"/>
    <x v="82"/>
    <x v="4"/>
    <n v="3888"/>
    <n v="0"/>
    <x v="23"/>
  </r>
  <r>
    <n v="24"/>
    <x v="23"/>
    <x v="83"/>
    <x v="0"/>
    <n v="85800"/>
    <n v="0"/>
    <x v="23"/>
  </r>
  <r>
    <n v="24"/>
    <x v="23"/>
    <x v="83"/>
    <x v="0"/>
    <n v="100000"/>
    <n v="0"/>
    <x v="23"/>
  </r>
  <r>
    <n v="24"/>
    <x v="23"/>
    <x v="84"/>
    <x v="0"/>
    <n v="12424.75"/>
    <n v="0"/>
    <x v="23"/>
  </r>
  <r>
    <n v="24"/>
    <x v="23"/>
    <x v="85"/>
    <x v="1"/>
    <n v="18768"/>
    <n v="0"/>
    <x v="23"/>
  </r>
  <r>
    <n v="25"/>
    <x v="24"/>
    <x v="0"/>
    <x v="0"/>
    <n v="110000"/>
    <n v="0"/>
    <x v="24"/>
  </r>
  <r>
    <n v="25"/>
    <x v="24"/>
    <x v="86"/>
    <x v="0"/>
    <n v="10000"/>
    <n v="0"/>
    <x v="24"/>
  </r>
  <r>
    <n v="25"/>
    <x v="24"/>
    <x v="87"/>
    <x v="0"/>
    <n v="15645"/>
    <n v="0"/>
    <x v="24"/>
  </r>
  <r>
    <n v="25"/>
    <x v="24"/>
    <x v="10"/>
    <x v="0"/>
    <n v="19750"/>
    <n v="0"/>
    <x v="24"/>
  </r>
  <r>
    <n v="25"/>
    <x v="24"/>
    <x v="28"/>
    <x v="2"/>
    <n v="6526.59"/>
    <n v="0"/>
    <x v="24"/>
  </r>
  <r>
    <n v="25"/>
    <x v="24"/>
    <x v="88"/>
    <x v="3"/>
    <n v="10788"/>
    <n v="0"/>
    <x v="24"/>
  </r>
  <r>
    <n v="25"/>
    <x v="24"/>
    <x v="89"/>
    <x v="3"/>
    <n v="7222"/>
    <n v="0"/>
    <x v="24"/>
  </r>
  <r>
    <n v="25"/>
    <x v="24"/>
    <x v="4"/>
    <x v="0"/>
    <n v="10000"/>
    <n v="0"/>
    <x v="24"/>
  </r>
  <r>
    <n v="25"/>
    <x v="24"/>
    <x v="5"/>
    <x v="2"/>
    <n v="2784"/>
    <n v="0"/>
    <x v="24"/>
  </r>
  <r>
    <n v="25"/>
    <x v="24"/>
    <x v="6"/>
    <x v="2"/>
    <n v="8952.2999999999993"/>
    <n v="0"/>
    <x v="24"/>
  </r>
  <r>
    <n v="25"/>
    <x v="24"/>
    <x v="76"/>
    <x v="0"/>
    <n v="3795.01"/>
    <n v="0"/>
    <x v="24"/>
  </r>
  <r>
    <n v="25"/>
    <x v="24"/>
    <x v="77"/>
    <x v="2"/>
    <n v="14500"/>
    <n v="0"/>
    <x v="24"/>
  </r>
  <r>
    <n v="25"/>
    <x v="24"/>
    <x v="78"/>
    <x v="3"/>
    <n v="0"/>
    <n v="32480"/>
    <x v="24"/>
  </r>
  <r>
    <n v="25"/>
    <x v="24"/>
    <x v="58"/>
    <x v="3"/>
    <n v="3970.21"/>
    <n v="0"/>
    <x v="24"/>
  </r>
  <r>
    <n v="25"/>
    <x v="24"/>
    <x v="68"/>
    <x v="3"/>
    <n v="15370"/>
    <n v="0"/>
    <x v="24"/>
  </r>
  <r>
    <n v="25"/>
    <x v="24"/>
    <x v="68"/>
    <x v="3"/>
    <n v="0"/>
    <n v="15370"/>
    <x v="24"/>
  </r>
  <r>
    <n v="25"/>
    <x v="24"/>
    <x v="44"/>
    <x v="2"/>
    <n v="0"/>
    <n v="4750.2"/>
    <x v="24"/>
  </r>
  <r>
    <n v="25"/>
    <x v="24"/>
    <x v="56"/>
    <x v="3"/>
    <n v="9135"/>
    <n v="0"/>
    <x v="24"/>
  </r>
  <r>
    <n v="25"/>
    <x v="24"/>
    <x v="56"/>
    <x v="3"/>
    <n v="11629"/>
    <n v="0"/>
    <x v="24"/>
  </r>
  <r>
    <n v="25"/>
    <x v="24"/>
    <x v="56"/>
    <x v="3"/>
    <n v="9135"/>
    <n v="0"/>
    <x v="24"/>
  </r>
  <r>
    <n v="25"/>
    <x v="24"/>
    <x v="90"/>
    <x v="4"/>
    <n v="520"/>
    <n v="0"/>
    <x v="24"/>
  </r>
  <r>
    <n v="25"/>
    <x v="24"/>
    <x v="91"/>
    <x v="3"/>
    <n v="1076"/>
    <n v="0"/>
    <x v="24"/>
  </r>
  <r>
    <n v="25"/>
    <x v="24"/>
    <x v="92"/>
    <x v="3"/>
    <n v="600"/>
    <n v="0"/>
    <x v="24"/>
  </r>
  <r>
    <n v="25"/>
    <x v="24"/>
    <x v="93"/>
    <x v="5"/>
    <n v="10000"/>
    <n v="0"/>
    <x v="24"/>
  </r>
  <r>
    <n v="25"/>
    <x v="24"/>
    <x v="94"/>
    <x v="4"/>
    <n v="3310"/>
    <n v="0"/>
    <x v="24"/>
  </r>
  <r>
    <n v="25"/>
    <x v="24"/>
    <x v="84"/>
    <x v="0"/>
    <n v="12220"/>
    <n v="0"/>
    <x v="24"/>
  </r>
  <r>
    <n v="25"/>
    <x v="24"/>
    <x v="95"/>
    <x v="2"/>
    <n v="2516.21"/>
    <n v="0"/>
    <x v="24"/>
  </r>
  <r>
    <n v="25"/>
    <x v="24"/>
    <x v="96"/>
    <x v="5"/>
    <n v="11600"/>
    <n v="0"/>
    <x v="24"/>
  </r>
  <r>
    <n v="25"/>
    <x v="24"/>
    <x v="97"/>
    <x v="2"/>
    <n v="2900"/>
    <n v="0"/>
    <x v="24"/>
  </r>
  <r>
    <n v="26"/>
    <x v="25"/>
    <x v="0"/>
    <x v="0"/>
    <n v="110000"/>
    <n v="0"/>
    <x v="25"/>
  </r>
  <r>
    <n v="26"/>
    <x v="25"/>
    <x v="10"/>
    <x v="0"/>
    <n v="21850"/>
    <n v="0"/>
    <x v="25"/>
  </r>
  <r>
    <n v="26"/>
    <x v="25"/>
    <x v="28"/>
    <x v="2"/>
    <n v="5537.7"/>
    <n v="0"/>
    <x v="25"/>
  </r>
  <r>
    <n v="26"/>
    <x v="25"/>
    <x v="4"/>
    <x v="0"/>
    <n v="0"/>
    <n v="10000"/>
    <x v="25"/>
  </r>
  <r>
    <n v="26"/>
    <x v="25"/>
    <x v="78"/>
    <x v="3"/>
    <n v="0"/>
    <n v="32480"/>
    <x v="25"/>
  </r>
  <r>
    <n v="26"/>
    <x v="25"/>
    <x v="6"/>
    <x v="2"/>
    <n v="0"/>
    <n v="8952.2999999999993"/>
    <x v="25"/>
  </r>
  <r>
    <n v="26"/>
    <x v="25"/>
    <x v="58"/>
    <x v="3"/>
    <n v="4235.9399999999996"/>
    <n v="0"/>
    <x v="25"/>
  </r>
  <r>
    <n v="26"/>
    <x v="25"/>
    <x v="36"/>
    <x v="5"/>
    <n v="0"/>
    <n v="26453.74"/>
    <x v="25"/>
  </r>
  <r>
    <n v="26"/>
    <x v="25"/>
    <x v="36"/>
    <x v="5"/>
    <n v="0"/>
    <n v="14592.86"/>
    <x v="25"/>
  </r>
  <r>
    <n v="26"/>
    <x v="25"/>
    <x v="68"/>
    <x v="3"/>
    <n v="15370"/>
    <n v="0"/>
    <x v="25"/>
  </r>
  <r>
    <n v="26"/>
    <x v="25"/>
    <x v="98"/>
    <x v="4"/>
    <n v="0"/>
    <n v="20000"/>
    <x v="25"/>
  </r>
  <r>
    <n v="26"/>
    <x v="25"/>
    <x v="99"/>
    <x v="3"/>
    <n v="18270"/>
    <n v="0"/>
    <x v="25"/>
  </r>
  <r>
    <n v="26"/>
    <x v="25"/>
    <x v="44"/>
    <x v="2"/>
    <n v="4750.2"/>
    <n v="0"/>
    <x v="25"/>
  </r>
  <r>
    <n v="27"/>
    <x v="26"/>
    <x v="0"/>
    <x v="0"/>
    <n v="110000"/>
    <n v="0"/>
    <x v="26"/>
  </r>
  <r>
    <n v="27"/>
    <x v="26"/>
    <x v="86"/>
    <x v="0"/>
    <n v="9000"/>
    <n v="0"/>
    <x v="26"/>
  </r>
  <r>
    <n v="27"/>
    <x v="26"/>
    <x v="10"/>
    <x v="0"/>
    <n v="24450"/>
    <n v="0"/>
    <x v="26"/>
  </r>
  <r>
    <n v="27"/>
    <x v="26"/>
    <x v="28"/>
    <x v="2"/>
    <n v="13795.487999999999"/>
    <n v="0"/>
    <x v="26"/>
  </r>
  <r>
    <n v="27"/>
    <x v="26"/>
    <x v="1"/>
    <x v="0"/>
    <n v="7000"/>
    <n v="0"/>
    <x v="26"/>
  </r>
  <r>
    <n v="27"/>
    <x v="26"/>
    <x v="1"/>
    <x v="0"/>
    <n v="61302.86"/>
    <n v="0"/>
    <x v="26"/>
  </r>
  <r>
    <n v="27"/>
    <x v="26"/>
    <x v="4"/>
    <x v="0"/>
    <n v="10000"/>
    <n v="10000"/>
    <x v="26"/>
  </r>
  <r>
    <n v="27"/>
    <x v="26"/>
    <x v="78"/>
    <x v="3"/>
    <n v="0"/>
    <n v="32480"/>
    <x v="26"/>
  </r>
  <r>
    <n v="27"/>
    <x v="26"/>
    <x v="5"/>
    <x v="2"/>
    <n v="0"/>
    <n v="3886"/>
    <x v="26"/>
  </r>
  <r>
    <n v="27"/>
    <x v="26"/>
    <x v="76"/>
    <x v="0"/>
    <n v="0"/>
    <n v="6050"/>
    <x v="26"/>
  </r>
  <r>
    <n v="27"/>
    <x v="26"/>
    <x v="100"/>
    <x v="3"/>
    <n v="0"/>
    <n v="3596.65"/>
    <x v="26"/>
  </r>
  <r>
    <n v="27"/>
    <x v="26"/>
    <x v="6"/>
    <x v="2"/>
    <n v="8952.2999999999993"/>
    <n v="0"/>
    <x v="26"/>
  </r>
  <r>
    <n v="27"/>
    <x v="26"/>
    <x v="40"/>
    <x v="4"/>
    <n v="0"/>
    <n v="2033"/>
    <x v="26"/>
  </r>
  <r>
    <n v="27"/>
    <x v="26"/>
    <x v="58"/>
    <x v="3"/>
    <n v="0"/>
    <n v="8129.69"/>
    <x v="26"/>
  </r>
  <r>
    <n v="27"/>
    <x v="26"/>
    <x v="89"/>
    <x v="3"/>
    <n v="6666.98"/>
    <n v="0"/>
    <x v="26"/>
  </r>
  <r>
    <n v="27"/>
    <x v="26"/>
    <x v="101"/>
    <x v="0"/>
    <n v="7508.23"/>
    <n v="0"/>
    <x v="26"/>
  </r>
  <r>
    <n v="27"/>
    <x v="26"/>
    <x v="102"/>
    <x v="6"/>
    <n v="0"/>
    <n v="47000"/>
    <x v="26"/>
  </r>
  <r>
    <n v="27"/>
    <x v="26"/>
    <x v="36"/>
    <x v="5"/>
    <n v="0"/>
    <n v="26453.74"/>
    <x v="26"/>
  </r>
  <r>
    <n v="27"/>
    <x v="26"/>
    <x v="36"/>
    <x v="5"/>
    <n v="0"/>
    <n v="14592.86"/>
    <x v="26"/>
  </r>
  <r>
    <n v="27"/>
    <x v="26"/>
    <x v="80"/>
    <x v="5"/>
    <n v="14685.06"/>
    <n v="0"/>
    <x v="26"/>
  </r>
  <r>
    <n v="27"/>
    <x v="26"/>
    <x v="68"/>
    <x v="3"/>
    <n v="0"/>
    <n v="30740"/>
    <x v="26"/>
  </r>
  <r>
    <n v="27"/>
    <x v="26"/>
    <x v="98"/>
    <x v="4"/>
    <n v="0"/>
    <n v="77738.850000000006"/>
    <x v="26"/>
  </r>
  <r>
    <n v="27"/>
    <x v="26"/>
    <x v="99"/>
    <x v="3"/>
    <n v="56045.4"/>
    <n v="0"/>
    <x v="26"/>
  </r>
  <r>
    <n v="27"/>
    <x v="26"/>
    <x v="99"/>
    <x v="3"/>
    <n v="9802"/>
    <n v="0"/>
    <x v="26"/>
  </r>
  <r>
    <n v="27"/>
    <x v="26"/>
    <x v="44"/>
    <x v="2"/>
    <n v="1292"/>
    <n v="0"/>
    <x v="26"/>
  </r>
  <r>
    <n v="27"/>
    <x v="26"/>
    <x v="12"/>
    <x v="0"/>
    <n v="0"/>
    <n v="49247.8"/>
    <x v="26"/>
  </r>
  <r>
    <n v="27"/>
    <x v="26"/>
    <x v="103"/>
    <x v="4"/>
    <n v="4674"/>
    <n v="0"/>
    <x v="26"/>
  </r>
  <r>
    <n v="27"/>
    <x v="26"/>
    <x v="104"/>
    <x v="5"/>
    <n v="10801"/>
    <n v="0"/>
    <x v="26"/>
  </r>
  <r>
    <n v="28"/>
    <x v="27"/>
    <x v="0"/>
    <x v="0"/>
    <n v="110000"/>
    <n v="0"/>
    <x v="27"/>
  </r>
  <r>
    <n v="28"/>
    <x v="27"/>
    <x v="105"/>
    <x v="0"/>
    <n v="10000"/>
    <n v="0"/>
    <x v="27"/>
  </r>
  <r>
    <n v="28"/>
    <x v="27"/>
    <x v="106"/>
    <x v="0"/>
    <n v="0"/>
    <n v="20000"/>
    <x v="27"/>
  </r>
  <r>
    <n v="28"/>
    <x v="27"/>
    <x v="10"/>
    <x v="0"/>
    <n v="27000"/>
    <n v="0"/>
    <x v="27"/>
  </r>
  <r>
    <n v="28"/>
    <x v="27"/>
    <x v="28"/>
    <x v="2"/>
    <n v="8670.8160000000007"/>
    <n v="0"/>
    <x v="27"/>
  </r>
  <r>
    <n v="28"/>
    <x v="27"/>
    <x v="4"/>
    <x v="0"/>
    <n v="0"/>
    <n v="10000"/>
    <x v="27"/>
  </r>
  <r>
    <n v="28"/>
    <x v="27"/>
    <x v="78"/>
    <x v="3"/>
    <n v="0"/>
    <n v="32480"/>
    <x v="27"/>
  </r>
  <r>
    <n v="28"/>
    <x v="27"/>
    <x v="5"/>
    <x v="2"/>
    <n v="0"/>
    <n v="3886"/>
    <x v="27"/>
  </r>
  <r>
    <n v="28"/>
    <x v="27"/>
    <x v="107"/>
    <x v="4"/>
    <n v="1044"/>
    <n v="0"/>
    <x v="27"/>
  </r>
  <r>
    <n v="28"/>
    <x v="27"/>
    <x v="100"/>
    <x v="3"/>
    <n v="0"/>
    <n v="3596.65"/>
    <x v="27"/>
  </r>
  <r>
    <n v="28"/>
    <x v="27"/>
    <x v="108"/>
    <x v="2"/>
    <n v="0"/>
    <n v="8952.2999999999993"/>
    <x v="27"/>
  </r>
  <r>
    <n v="28"/>
    <x v="27"/>
    <x v="40"/>
    <x v="4"/>
    <n v="0"/>
    <n v="2033"/>
    <x v="27"/>
  </r>
  <r>
    <n v="28"/>
    <x v="27"/>
    <x v="58"/>
    <x v="3"/>
    <n v="0"/>
    <n v="8129.69"/>
    <x v="27"/>
  </r>
  <r>
    <n v="28"/>
    <x v="27"/>
    <x v="109"/>
    <x v="3"/>
    <n v="7134"/>
    <n v="0"/>
    <x v="27"/>
  </r>
  <r>
    <n v="28"/>
    <x v="27"/>
    <x v="110"/>
    <x v="3"/>
    <n v="3596"/>
    <n v="0"/>
    <x v="27"/>
  </r>
  <r>
    <n v="28"/>
    <x v="27"/>
    <x v="102"/>
    <x v="6"/>
    <n v="0"/>
    <n v="47000"/>
    <x v="27"/>
  </r>
  <r>
    <n v="28"/>
    <x v="27"/>
    <x v="36"/>
    <x v="5"/>
    <n v="0"/>
    <n v="52907.48"/>
    <x v="27"/>
  </r>
  <r>
    <n v="28"/>
    <x v="27"/>
    <x v="36"/>
    <x v="5"/>
    <n v="0"/>
    <n v="14592.86"/>
    <x v="27"/>
  </r>
  <r>
    <n v="28"/>
    <x v="27"/>
    <x v="68"/>
    <x v="3"/>
    <n v="0"/>
    <n v="30740"/>
    <x v="27"/>
  </r>
  <r>
    <n v="28"/>
    <x v="27"/>
    <x v="111"/>
    <x v="6"/>
    <n v="2729"/>
    <n v="0"/>
    <x v="27"/>
  </r>
  <r>
    <n v="28"/>
    <x v="27"/>
    <x v="98"/>
    <x v="4"/>
    <n v="0"/>
    <n v="77738.850000000006"/>
    <x v="27"/>
  </r>
  <r>
    <n v="28"/>
    <x v="27"/>
    <x v="99"/>
    <x v="3"/>
    <n v="14697.2"/>
    <n v="0"/>
    <x v="27"/>
  </r>
  <r>
    <n v="28"/>
    <x v="27"/>
    <x v="38"/>
    <x v="2"/>
    <n v="0"/>
    <n v="6086.26"/>
    <x v="27"/>
  </r>
  <r>
    <n v="28"/>
    <x v="27"/>
    <x v="112"/>
    <x v="4"/>
    <n v="1551"/>
    <n v="0"/>
    <x v="27"/>
  </r>
  <r>
    <n v="28"/>
    <x v="27"/>
    <x v="113"/>
    <x v="5"/>
    <n v="0"/>
    <n v="13428"/>
    <x v="27"/>
  </r>
  <r>
    <n v="29"/>
    <x v="28"/>
    <x v="0"/>
    <x v="0"/>
    <n v="110000"/>
    <n v="0"/>
    <x v="28"/>
  </r>
  <r>
    <n v="29"/>
    <x v="28"/>
    <x v="10"/>
    <x v="0"/>
    <n v="25000"/>
    <n v="0"/>
    <x v="28"/>
  </r>
  <r>
    <n v="29"/>
    <x v="28"/>
    <x v="28"/>
    <x v="2"/>
    <n v="13091.4"/>
    <n v="0"/>
    <x v="28"/>
  </r>
  <r>
    <n v="29"/>
    <x v="28"/>
    <x v="1"/>
    <x v="0"/>
    <n v="0"/>
    <n v="40000"/>
    <x v="28"/>
  </r>
  <r>
    <n v="29"/>
    <x v="28"/>
    <x v="4"/>
    <x v="0"/>
    <n v="10000"/>
    <n v="0"/>
    <x v="28"/>
  </r>
  <r>
    <n v="29"/>
    <x v="28"/>
    <x v="78"/>
    <x v="3"/>
    <n v="0"/>
    <n v="32480"/>
    <x v="28"/>
  </r>
  <r>
    <n v="29"/>
    <x v="28"/>
    <x v="114"/>
    <x v="2"/>
    <n v="0"/>
    <n v="3886"/>
    <x v="28"/>
  </r>
  <r>
    <n v="29"/>
    <x v="28"/>
    <x v="100"/>
    <x v="3"/>
    <n v="4172.1099999999997"/>
    <n v="0"/>
    <x v="28"/>
  </r>
  <r>
    <n v="29"/>
    <x v="28"/>
    <x v="108"/>
    <x v="2"/>
    <n v="0"/>
    <n v="8952.2999999999993"/>
    <x v="28"/>
  </r>
  <r>
    <n v="29"/>
    <x v="28"/>
    <x v="40"/>
    <x v="4"/>
    <n v="0"/>
    <n v="2033"/>
    <x v="28"/>
  </r>
  <r>
    <n v="29"/>
    <x v="28"/>
    <x v="58"/>
    <x v="3"/>
    <n v="0"/>
    <n v="8129.69"/>
    <x v="28"/>
  </r>
  <r>
    <n v="29"/>
    <x v="28"/>
    <x v="115"/>
    <x v="3"/>
    <n v="1783"/>
    <n v="0"/>
    <x v="28"/>
  </r>
  <r>
    <n v="29"/>
    <x v="28"/>
    <x v="110"/>
    <x v="3"/>
    <n v="3596"/>
    <n v="0"/>
    <x v="28"/>
  </r>
  <r>
    <n v="29"/>
    <x v="28"/>
    <x v="102"/>
    <x v="6"/>
    <n v="0"/>
    <n v="60000"/>
    <x v="28"/>
  </r>
  <r>
    <n v="29"/>
    <x v="28"/>
    <x v="77"/>
    <x v="2"/>
    <n v="0"/>
    <n v="15000"/>
    <x v="28"/>
  </r>
  <r>
    <n v="29"/>
    <x v="28"/>
    <x v="36"/>
    <x v="5"/>
    <n v="26453.74"/>
    <n v="0"/>
    <x v="28"/>
  </r>
  <r>
    <n v="29"/>
    <x v="28"/>
    <x v="68"/>
    <x v="3"/>
    <n v="15370"/>
    <n v="15370"/>
    <x v="28"/>
  </r>
  <r>
    <n v="29"/>
    <x v="28"/>
    <x v="116"/>
    <x v="0"/>
    <n v="15000"/>
    <n v="0"/>
    <x v="28"/>
  </r>
  <r>
    <n v="29"/>
    <x v="28"/>
    <x v="116"/>
    <x v="0"/>
    <n v="5000"/>
    <n v="0"/>
    <x v="28"/>
  </r>
  <r>
    <n v="29"/>
    <x v="28"/>
    <x v="98"/>
    <x v="4"/>
    <n v="0"/>
    <n v="77738.850000000006"/>
    <x v="28"/>
  </r>
  <r>
    <n v="29"/>
    <x v="28"/>
    <x v="99"/>
    <x v="3"/>
    <n v="31215.599999999999"/>
    <n v="0"/>
    <x v="28"/>
  </r>
  <r>
    <n v="29"/>
    <x v="28"/>
    <x v="99"/>
    <x v="3"/>
    <n v="9802"/>
    <n v="0"/>
    <x v="28"/>
  </r>
  <r>
    <n v="29"/>
    <x v="28"/>
    <x v="99"/>
    <x v="3"/>
    <n v="13722.8"/>
    <n v="0"/>
    <x v="28"/>
  </r>
  <r>
    <n v="29"/>
    <x v="28"/>
    <x v="38"/>
    <x v="2"/>
    <n v="6086.26"/>
    <n v="0"/>
    <x v="28"/>
  </r>
  <r>
    <n v="29"/>
    <x v="28"/>
    <x v="62"/>
    <x v="4"/>
    <n v="11000"/>
    <n v="0"/>
    <x v="28"/>
  </r>
  <r>
    <n v="29"/>
    <x v="28"/>
    <x v="113"/>
    <x v="5"/>
    <n v="13428"/>
    <n v="0"/>
    <x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n v="1"/>
    <s v="10-15 NOV"/>
    <s v="NOMINA FV"/>
    <x v="0"/>
    <n v="130000"/>
    <n v="0"/>
    <s v="01 10-15 NOV"/>
    <x v="0"/>
  </r>
  <r>
    <n v="1"/>
    <s v="10-15 NOV"/>
    <s v="RAISA"/>
    <x v="0"/>
    <n v="50000"/>
    <n v="0"/>
    <s v="01 10-15 NOV"/>
    <x v="0"/>
  </r>
  <r>
    <n v="1"/>
    <s v="10-15 NOV"/>
    <s v="PLATANO"/>
    <x v="1"/>
    <n v="37000"/>
    <n v="0"/>
    <s v="01 10-15 NOV"/>
    <x v="0"/>
  </r>
  <r>
    <n v="1"/>
    <s v="10-15 NOV"/>
    <s v="ARTURO GUERRERO"/>
    <x v="0"/>
    <n v="30000"/>
    <n v="0"/>
    <s v="01 10-15 NOV"/>
    <x v="0"/>
  </r>
  <r>
    <n v="1"/>
    <s v="10-15 NOV"/>
    <s v="ALEX Y RAFA"/>
    <x v="0"/>
    <n v="10000"/>
    <n v="0"/>
    <s v="01 10-15 NOV"/>
    <x v="0"/>
  </r>
  <r>
    <n v="1"/>
    <s v="10-15 NOV"/>
    <s v="CIPSA"/>
    <x v="2"/>
    <n v="3000"/>
    <n v="0"/>
    <s v="01 10-15 NOV"/>
    <x v="0"/>
  </r>
  <r>
    <n v="1"/>
    <s v="10-15 NOV"/>
    <s v="DEPACHO GARNICA"/>
    <x v="2"/>
    <n v="9000"/>
    <n v="0"/>
    <s v="01 10-15 NOV"/>
    <x v="0"/>
  </r>
  <r>
    <n v="1"/>
    <s v="10-15 NOV"/>
    <s v="LORE"/>
    <x v="0"/>
    <n v="12006"/>
    <n v="0"/>
    <s v="01 10-15 NOV"/>
    <x v="0"/>
  </r>
  <r>
    <n v="1"/>
    <s v="10-15 NOV"/>
    <s v="TARIMA"/>
    <x v="3"/>
    <n v="0"/>
    <n v="16240"/>
    <s v="01 10-15 NOV"/>
    <x v="0"/>
  </r>
  <r>
    <n v="1"/>
    <s v="10-15 NOV"/>
    <s v="SIMA (CALIBRACION)"/>
    <x v="2"/>
    <n v="0"/>
    <n v="2500"/>
    <s v="01 10-15 NOV"/>
    <x v="0"/>
  </r>
  <r>
    <n v="1"/>
    <s v="10-15 NOV"/>
    <s v="NOMINA CXM"/>
    <x v="0"/>
    <n v="30000"/>
    <n v="0"/>
    <s v="01 10-15 NOV"/>
    <x v="0"/>
  </r>
  <r>
    <n v="2"/>
    <s v="17-22 NOV"/>
    <s v="NOMINA FV"/>
    <x v="0"/>
    <n v="115000"/>
    <n v="0"/>
    <s v="02 17-22 NOV"/>
    <x v="0"/>
  </r>
  <r>
    <n v="2"/>
    <s v="17-22 NOV"/>
    <s v="RAISA"/>
    <x v="0"/>
    <n v="30000"/>
    <n v="0"/>
    <s v="02 17-22 NOV"/>
    <x v="0"/>
  </r>
  <r>
    <n v="2"/>
    <s v="17-22 NOV"/>
    <s v="RAISA"/>
    <x v="0"/>
    <n v="0"/>
    <n v="50136"/>
    <s v="02 17-22 NOV"/>
    <x v="0"/>
  </r>
  <r>
    <n v="2"/>
    <s v="17-22 NOV"/>
    <s v="ARTURO GUERRERO"/>
    <x v="0"/>
    <n v="50000"/>
    <n v="0"/>
    <s v="02 17-22 NOV"/>
    <x v="0"/>
  </r>
  <r>
    <n v="2"/>
    <s v="17-22 NOV"/>
    <s v="ALEX Y RAFA"/>
    <x v="0"/>
    <n v="20000"/>
    <n v="0"/>
    <s v="02 17-22 NOV"/>
    <x v="0"/>
  </r>
  <r>
    <n v="2"/>
    <s v="17-22 NOV"/>
    <s v="CIPSA"/>
    <x v="2"/>
    <n v="3000"/>
    <n v="0"/>
    <s v="02 17-22 NOV"/>
    <x v="0"/>
  </r>
  <r>
    <n v="2"/>
    <s v="17-22 NOV"/>
    <s v="DEPACHO GARNICA"/>
    <x v="2"/>
    <n v="9000"/>
    <n v="0"/>
    <s v="02 17-22 NOV"/>
    <x v="0"/>
  </r>
  <r>
    <n v="2"/>
    <s v="17-22 NOV"/>
    <s v="LORE"/>
    <x v="0"/>
    <n v="0"/>
    <n v="12006"/>
    <s v="02 17-22 NOV"/>
    <x v="0"/>
  </r>
  <r>
    <n v="2"/>
    <s v="17-22 NOV"/>
    <s v="TARIMA"/>
    <x v="3"/>
    <n v="0"/>
    <n v="16240"/>
    <s v="02 17-22 NOV"/>
    <x v="0"/>
  </r>
  <r>
    <n v="2"/>
    <s v="17-22 NOV"/>
    <s v="SIMA (CALIBRACION)"/>
    <x v="2"/>
    <n v="0"/>
    <n v="2500"/>
    <s v="02 17-22 NOV"/>
    <x v="0"/>
  </r>
  <r>
    <n v="2"/>
    <s v="17-22 NOV"/>
    <s v="NOMINA CXM"/>
    <x v="0"/>
    <n v="30000"/>
    <n v="0"/>
    <s v="02 17-22 NOV"/>
    <x v="0"/>
  </r>
  <r>
    <n v="2"/>
    <s v="17-22 NOV"/>
    <s v="ROBERTO REYES"/>
    <x v="0"/>
    <n v="0"/>
    <n v="20300"/>
    <s v="02 17-22 NOV"/>
    <x v="0"/>
  </r>
  <r>
    <n v="2"/>
    <s v="17-22 NOV"/>
    <s v="SINDULFO"/>
    <x v="0"/>
    <n v="0"/>
    <n v="20000"/>
    <s v="02 17-22 NOV"/>
    <x v="0"/>
  </r>
  <r>
    <n v="2"/>
    <s v="17-22 NOV"/>
    <s v="SR IGNACIO"/>
    <x v="0"/>
    <n v="20000"/>
    <n v="0"/>
    <s v="02 17-22 NOV"/>
    <x v="0"/>
  </r>
  <r>
    <n v="2"/>
    <s v="17-22 NOV"/>
    <s v="CIELO (TARIMAS)"/>
    <x v="3"/>
    <n v="0"/>
    <n v="16240"/>
    <s v="02 17-22 NOV"/>
    <x v="0"/>
  </r>
  <r>
    <n v="2"/>
    <s v="17-22 NOV"/>
    <s v="Ing Aguilar , embolsadora"/>
    <x v="3"/>
    <n v="15000"/>
    <n v="0"/>
    <s v="02 17-22 NOV"/>
    <x v="0"/>
  </r>
  <r>
    <n v="2"/>
    <s v="17-22 NOV"/>
    <s v="Contador Raymundo"/>
    <x v="2"/>
    <n v="0"/>
    <n v="3000"/>
    <s v="02 17-22 NOV"/>
    <x v="0"/>
  </r>
  <r>
    <n v="2"/>
    <s v="17-22 NOV"/>
    <s v="EFECTIVO"/>
    <x v="4"/>
    <n v="0"/>
    <n v="20000"/>
    <s v="02 17-22 NOV"/>
    <x v="0"/>
  </r>
  <r>
    <n v="2"/>
    <s v="17-22 NOV"/>
    <s v="Cristian Ramirez"/>
    <x v="0"/>
    <n v="0"/>
    <n v="25800"/>
    <s v="02 17-22 NOV"/>
    <x v="0"/>
  </r>
  <r>
    <n v="3"/>
    <s v="24-29 NOV"/>
    <s v="NOMINA FV"/>
    <x v="0"/>
    <n v="110000"/>
    <n v="0"/>
    <s v="03 24-29 NOV"/>
    <x v="0"/>
  </r>
  <r>
    <n v="3"/>
    <s v="24-29 NOV"/>
    <s v="ARTURO GUERRERO"/>
    <x v="0"/>
    <n v="0"/>
    <n v="50000"/>
    <s v="03 24-29 NOV"/>
    <x v="0"/>
  </r>
  <r>
    <n v="3"/>
    <s v="24-29 NOV"/>
    <s v="ALEX Y RAFA"/>
    <x v="0"/>
    <n v="0"/>
    <n v="20000"/>
    <s v="03 24-29 NOV"/>
    <x v="0"/>
  </r>
  <r>
    <n v="3"/>
    <s v="24-29 NOV"/>
    <s v="CIPSA"/>
    <x v="2"/>
    <n v="0"/>
    <n v="3000"/>
    <s v="03 24-29 NOV"/>
    <x v="0"/>
  </r>
  <r>
    <n v="3"/>
    <s v="24-29 NOV"/>
    <s v="DEPACHO GARNICA"/>
    <x v="2"/>
    <n v="0"/>
    <n v="9000"/>
    <s v="03 24-29 NOV"/>
    <x v="0"/>
  </r>
  <r>
    <n v="3"/>
    <s v="24-29 NOV"/>
    <s v="SIMA (CALIBRACION)"/>
    <x v="2"/>
    <n v="0"/>
    <n v="2500"/>
    <s v="03 24-29 NOV"/>
    <x v="0"/>
  </r>
  <r>
    <n v="3"/>
    <s v="24-29 NOV"/>
    <s v="NOMINA CXM"/>
    <x v="0"/>
    <n v="13000"/>
    <n v="0"/>
    <s v="03 24-29 NOV"/>
    <x v="0"/>
  </r>
  <r>
    <n v="3"/>
    <s v="24-29 NOV"/>
    <s v="ROBERTO REYES"/>
    <x v="0"/>
    <n v="0"/>
    <n v="20300"/>
    <s v="03 24-29 NOV"/>
    <x v="0"/>
  </r>
  <r>
    <n v="3"/>
    <s v="24-29 NOV"/>
    <s v="SINDULFO"/>
    <x v="0"/>
    <n v="0"/>
    <n v="20000"/>
    <s v="03 24-29 NOV"/>
    <x v="0"/>
  </r>
  <r>
    <n v="3"/>
    <s v="24-29 NOV"/>
    <s v="Tenencias"/>
    <x v="5"/>
    <n v="17470"/>
    <n v="0"/>
    <s v="03 24-29 NOV"/>
    <x v="0"/>
  </r>
  <r>
    <n v="4"/>
    <s v="01-06 Dic"/>
    <s v="NOMINA FV"/>
    <x v="0"/>
    <n v="120000"/>
    <n v="0"/>
    <s v="04 01-06 Dic"/>
    <x v="1"/>
  </r>
  <r>
    <n v="4"/>
    <s v="01-06 Dic"/>
    <s v="ARTURO GUERRERO"/>
    <x v="0"/>
    <n v="50000"/>
    <n v="0"/>
    <s v="04 01-06 Dic"/>
    <x v="1"/>
  </r>
  <r>
    <n v="4"/>
    <s v="01-06 Dic"/>
    <s v="ALEX Y RAFA"/>
    <x v="0"/>
    <n v="10000"/>
    <n v="0"/>
    <s v="04 01-06 Dic"/>
    <x v="1"/>
  </r>
  <r>
    <n v="4"/>
    <s v="01-06 Dic"/>
    <s v="CIPSA"/>
    <x v="2"/>
    <n v="2784"/>
    <n v="3000"/>
    <s v="04 01-06 Dic"/>
    <x v="1"/>
  </r>
  <r>
    <n v="4"/>
    <s v="01-06 Dic"/>
    <s v="DEPACHO GARNICA"/>
    <x v="2"/>
    <n v="0"/>
    <n v="9000"/>
    <s v="04 01-06 Dic"/>
    <x v="1"/>
  </r>
  <r>
    <n v="4"/>
    <s v="01-06 Dic"/>
    <s v="SIMA (CALIBRACION)"/>
    <x v="2"/>
    <n v="0"/>
    <n v="2500"/>
    <s v="04 01-06 Dic"/>
    <x v="1"/>
  </r>
  <r>
    <n v="4"/>
    <s v="01-06 Dic"/>
    <s v="NOMINA CXM"/>
    <x v="0"/>
    <n v="15000"/>
    <n v="0"/>
    <s v="04 01-06 Dic"/>
    <x v="1"/>
  </r>
  <r>
    <n v="4"/>
    <s v="01-06 Dic"/>
    <s v="ROBERTO REYES"/>
    <x v="0"/>
    <n v="0"/>
    <n v="20300"/>
    <s v="04 01-06 Dic"/>
    <x v="1"/>
  </r>
  <r>
    <n v="4"/>
    <s v="01-06 Dic"/>
    <s v="SINDULFO"/>
    <x v="0"/>
    <n v="0"/>
    <n v="20000"/>
    <s v="04 01-06 Dic"/>
    <x v="1"/>
  </r>
  <r>
    <n v="4"/>
    <s v="01-06 Dic"/>
    <s v="Contador Carlos"/>
    <x v="2"/>
    <n v="10000"/>
    <n v="0"/>
    <s v="04 01-06 Dic"/>
    <x v="1"/>
  </r>
  <r>
    <n v="4"/>
    <s v="01-06 Dic"/>
    <s v="Bolsa Transparente (Chavinda)"/>
    <x v="3"/>
    <n v="0"/>
    <n v="7350"/>
    <s v="04 01-06 Dic"/>
    <x v="1"/>
  </r>
  <r>
    <n v="4"/>
    <s v="01-06 Dic"/>
    <s v="Transporte de Gente"/>
    <x v="4"/>
    <n v="0"/>
    <n v="12000"/>
    <s v="04 01-06 Dic"/>
    <x v="1"/>
  </r>
  <r>
    <n v="5"/>
    <s v="08-13 Dic"/>
    <s v="NOMINA FV"/>
    <x v="0"/>
    <n v="115000"/>
    <n v="0"/>
    <s v="05 08-13 Dic"/>
    <x v="1"/>
  </r>
  <r>
    <n v="5"/>
    <s v="08-13 Dic"/>
    <s v="RAISA"/>
    <x v="0"/>
    <n v="0"/>
    <n v="50000"/>
    <s v="05 08-13 Dic"/>
    <x v="1"/>
  </r>
  <r>
    <n v="5"/>
    <s v="08-13 Dic"/>
    <s v="EMBAPACK"/>
    <x v="3"/>
    <n v="5000"/>
    <n v="0"/>
    <s v="05 08-13 Dic"/>
    <x v="1"/>
  </r>
  <r>
    <n v="5"/>
    <s v="08-13 Dic"/>
    <s v="ARTURO GUERRERO"/>
    <x v="0"/>
    <n v="0"/>
    <n v="50000"/>
    <s v="05 08-13 Dic"/>
    <x v="1"/>
  </r>
  <r>
    <n v="5"/>
    <s v="08-13 Dic"/>
    <s v="ALEX Y RAFA"/>
    <x v="0"/>
    <n v="10000"/>
    <n v="0"/>
    <s v="05 08-13 Dic"/>
    <x v="1"/>
  </r>
  <r>
    <n v="5"/>
    <s v="08-13 Dic"/>
    <s v="CIPSA"/>
    <x v="2"/>
    <n v="0"/>
    <n v="5568"/>
    <s v="05 08-13 Dic"/>
    <x v="1"/>
  </r>
  <r>
    <n v="5"/>
    <s v="08-13 Dic"/>
    <s v="DEPACHO GARNICA"/>
    <x v="2"/>
    <n v="0"/>
    <n v="9000"/>
    <s v="05 08-13 Dic"/>
    <x v="1"/>
  </r>
  <r>
    <n v="5"/>
    <s v="08-13 Dic"/>
    <s v="LORE (Transporte Personal)"/>
    <x v="0"/>
    <n v="0"/>
    <n v="12500"/>
    <s v="05 08-13 Dic"/>
    <x v="1"/>
  </r>
  <r>
    <n v="5"/>
    <s v="08-13 Dic"/>
    <s v="SIMA (CALIBRACION)"/>
    <x v="2"/>
    <n v="0"/>
    <n v="2500"/>
    <s v="05 08-13 Dic"/>
    <x v="1"/>
  </r>
  <r>
    <n v="5"/>
    <s v="08-13 Dic"/>
    <s v="NOMINA CXM"/>
    <x v="0"/>
    <n v="17000"/>
    <n v="0"/>
    <s v="05 08-13 Dic"/>
    <x v="1"/>
  </r>
  <r>
    <n v="5"/>
    <s v="08-13 Dic"/>
    <s v="ROBERTO REYES"/>
    <x v="0"/>
    <n v="0"/>
    <n v="49247.8"/>
    <s v="05 08-13 Dic"/>
    <x v="1"/>
  </r>
  <r>
    <n v="5"/>
    <s v="08-13 Dic"/>
    <s v="LALO AGUIRRE"/>
    <x v="0"/>
    <n v="0"/>
    <n v="22846.25"/>
    <s v="05 08-13 Dic"/>
    <x v="1"/>
  </r>
  <r>
    <n v="5"/>
    <s v="08-13 Dic"/>
    <s v="Bolsa Transparente (Chavinda)"/>
    <x v="3"/>
    <n v="0"/>
    <n v="7350"/>
    <s v="05 08-13 Dic"/>
    <x v="1"/>
  </r>
  <r>
    <n v="5"/>
    <s v="08-13 Dic"/>
    <s v="CAJA CARTON (PATAGONIA)"/>
    <x v="3"/>
    <n v="19604"/>
    <n v="0"/>
    <s v="05 08-13 Dic"/>
    <x v="1"/>
  </r>
  <r>
    <n v="5"/>
    <s v="08-13 Dic"/>
    <s v="AVV (PAGO SANTANDER)"/>
    <x v="4"/>
    <n v="280000"/>
    <n v="85000"/>
    <s v="05 08-13 Dic"/>
    <x v="1"/>
  </r>
  <r>
    <n v="6"/>
    <s v="15-20 Dic"/>
    <s v="NOMINA FV"/>
    <x v="0"/>
    <n v="125038"/>
    <n v="0"/>
    <s v="06 15-20 Dic"/>
    <x v="1"/>
  </r>
  <r>
    <n v="6"/>
    <s v="15-20 Dic"/>
    <s v="RAISA"/>
    <x v="0"/>
    <n v="0"/>
    <n v="50000"/>
    <s v="06 15-20 Dic"/>
    <x v="1"/>
  </r>
  <r>
    <n v="6"/>
    <s v="15-20 Dic"/>
    <s v="ARTURO GUERRERO"/>
    <x v="0"/>
    <n v="50000"/>
    <n v="0"/>
    <s v="06 15-20 Dic"/>
    <x v="1"/>
  </r>
  <r>
    <n v="6"/>
    <s v="15-20 Dic"/>
    <s v="ALEX Y RAFA"/>
    <x v="0"/>
    <n v="10000"/>
    <n v="0"/>
    <s v="06 15-20 Dic"/>
    <x v="1"/>
  </r>
  <r>
    <n v="6"/>
    <s v="15-20 Dic"/>
    <s v="CIPSA"/>
    <x v="2"/>
    <n v="0"/>
    <n v="5568"/>
    <s v="06 15-20 Dic"/>
    <x v="1"/>
  </r>
  <r>
    <n v="6"/>
    <s v="15-20 Dic"/>
    <s v="DEPACHO GARNICA"/>
    <x v="2"/>
    <n v="0"/>
    <n v="9000"/>
    <s v="06 15-20 Dic"/>
    <x v="1"/>
  </r>
  <r>
    <n v="6"/>
    <s v="15-20 Dic"/>
    <s v="LORE (Transporte Personal)"/>
    <x v="0"/>
    <n v="0"/>
    <n v="12500"/>
    <s v="06 15-20 Dic"/>
    <x v="1"/>
  </r>
  <r>
    <n v="6"/>
    <s v="15-20 Dic"/>
    <s v="SIMA (CALIBRACION)"/>
    <x v="2"/>
    <n v="0"/>
    <n v="2500"/>
    <s v="06 15-20 Dic"/>
    <x v="1"/>
  </r>
  <r>
    <n v="6"/>
    <s v="15-20 Dic"/>
    <s v="NOMINA CXM"/>
    <x v="0"/>
    <n v="13000"/>
    <n v="0"/>
    <s v="06 15-20 Dic"/>
    <x v="1"/>
  </r>
  <r>
    <n v="6"/>
    <s v="15-20 Dic"/>
    <s v="ROBERTO REYES"/>
    <x v="0"/>
    <n v="0"/>
    <n v="49247.8"/>
    <s v="06 15-20 Dic"/>
    <x v="1"/>
  </r>
  <r>
    <n v="6"/>
    <s v="15-20 Dic"/>
    <s v="LALO AGUIRRE"/>
    <x v="0"/>
    <n v="0"/>
    <n v="22846.25"/>
    <s v="06 15-20 Dic"/>
    <x v="1"/>
  </r>
  <r>
    <n v="6"/>
    <s v="15-20 Dic"/>
    <s v="Ing Aguilar , embolsadora"/>
    <x v="3"/>
    <n v="12000"/>
    <n v="0"/>
    <s v="06 15-20 Dic"/>
    <x v="1"/>
  </r>
  <r>
    <n v="6"/>
    <s v="15-20 Dic"/>
    <s v="Honorarios contador"/>
    <x v="2"/>
    <n v="9588.2800000000007"/>
    <n v="0"/>
    <s v="06 15-20 Dic"/>
    <x v="1"/>
  </r>
  <r>
    <n v="6"/>
    <s v="15-20 Dic"/>
    <s v="Cristian Ramirez"/>
    <x v="0"/>
    <n v="28500"/>
    <n v="0"/>
    <s v="06 15-20 Dic"/>
    <x v="1"/>
  </r>
  <r>
    <n v="6"/>
    <s v="15-20 Dic"/>
    <s v="Cristian Ramirez"/>
    <x v="0"/>
    <n v="10200"/>
    <n v="0"/>
    <s v="06 15-20 Dic"/>
    <x v="1"/>
  </r>
  <r>
    <n v="6"/>
    <s v="15-20 Dic"/>
    <s v="Bolsa Transparente (Chavinda)"/>
    <x v="3"/>
    <n v="8000"/>
    <n v="7350"/>
    <s v="06 15-20 Dic"/>
    <x v="1"/>
  </r>
  <r>
    <n v="6"/>
    <s v="15-20 Dic"/>
    <s v="CAJA CARTON (PATAGONIA)"/>
    <x v="3"/>
    <n v="39208"/>
    <n v="0"/>
    <s v="06 15-20 Dic"/>
    <x v="1"/>
  </r>
  <r>
    <n v="6"/>
    <s v="15-20 Dic"/>
    <s v="ETIQUETAS CODICE"/>
    <x v="3"/>
    <n v="3648.39"/>
    <n v="0"/>
    <s v="06 15-20 Dic"/>
    <x v="1"/>
  </r>
  <r>
    <n v="6"/>
    <s v="15-20 Dic"/>
    <s v="AVV (PAGO SANTANDERT)"/>
    <x v="4"/>
    <n v="83200"/>
    <n v="0"/>
    <s v="06 15-20 Dic"/>
    <x v="1"/>
  </r>
  <r>
    <n v="7"/>
    <s v="21-27 Dic"/>
    <s v="NOMINA FV"/>
    <x v="0"/>
    <n v="104223"/>
    <n v="0"/>
    <s v="07 21-27 Dic"/>
    <x v="1"/>
  </r>
  <r>
    <n v="7"/>
    <s v="21-27 Dic"/>
    <s v="NOMINA FV"/>
    <x v="0"/>
    <n v="20000"/>
    <n v="0"/>
    <s v="07 21-27 Dic"/>
    <x v="1"/>
  </r>
  <r>
    <n v="7"/>
    <s v="21-27 Dic"/>
    <s v="ARTURO GUERRERO"/>
    <x v="0"/>
    <n v="60000"/>
    <n v="0"/>
    <s v="07 21-27 Dic"/>
    <x v="1"/>
  </r>
  <r>
    <n v="7"/>
    <s v="21-27 Dic"/>
    <s v="ALEX Y RAFA"/>
    <x v="0"/>
    <n v="0"/>
    <n v="15000"/>
    <s v="07 21-27 Dic"/>
    <x v="1"/>
  </r>
  <r>
    <n v="7"/>
    <s v="21-27 Dic"/>
    <s v="CIPSA"/>
    <x v="2"/>
    <n v="5568"/>
    <n v="0"/>
    <s v="07 21-27 Dic"/>
    <x v="1"/>
  </r>
  <r>
    <n v="7"/>
    <s v="21-27 Dic"/>
    <s v="SIMA (CALIBRACION)"/>
    <x v="2"/>
    <n v="0"/>
    <n v="2500"/>
    <s v="07 21-27 Dic"/>
    <x v="1"/>
  </r>
  <r>
    <n v="7"/>
    <s v="21-27 Dic"/>
    <s v="NOMINA CXM"/>
    <x v="0"/>
    <n v="20852.5"/>
    <n v="0"/>
    <s v="07 21-27 Dic"/>
    <x v="1"/>
  </r>
  <r>
    <n v="7"/>
    <s v="21-27 Dic"/>
    <s v="ROBERTO REYES"/>
    <x v="0"/>
    <n v="0"/>
    <n v="49247.8"/>
    <s v="07 21-27 Dic"/>
    <x v="1"/>
  </r>
  <r>
    <n v="7"/>
    <s v="21-27 Dic"/>
    <s v="LALO AGUIRRE"/>
    <x v="0"/>
    <n v="22846.25"/>
    <n v="0"/>
    <s v="07 21-27 Dic"/>
    <x v="1"/>
  </r>
  <r>
    <n v="7"/>
    <s v="21-27 Dic"/>
    <s v="CIELO (TARIMAS)"/>
    <x v="3"/>
    <n v="8120"/>
    <n v="0"/>
    <s v="07 21-27 Dic"/>
    <x v="1"/>
  </r>
  <r>
    <n v="7"/>
    <s v="21-27 Dic"/>
    <s v="Ing Aguilar , embolsadora"/>
    <x v="3"/>
    <n v="0"/>
    <n v="12000"/>
    <s v="07 21-27 Dic"/>
    <x v="1"/>
  </r>
  <r>
    <n v="7"/>
    <s v="21-27 Dic"/>
    <s v="Honorarios contador"/>
    <x v="2"/>
    <n v="0"/>
    <n v="9588.2800000000007"/>
    <s v="07 21-27 Dic"/>
    <x v="1"/>
  </r>
  <r>
    <n v="7"/>
    <s v="21-27 Dic"/>
    <s v="Cristian Ramirez"/>
    <x v="0"/>
    <n v="0"/>
    <n v="22800"/>
    <s v="07 21-27 Dic"/>
    <x v="1"/>
  </r>
  <r>
    <n v="7"/>
    <s v="21-27 Dic"/>
    <s v="Cristian Ramirez"/>
    <x v="0"/>
    <n v="28500"/>
    <n v="0"/>
    <s v="07 21-27 Dic"/>
    <x v="1"/>
  </r>
  <r>
    <n v="7"/>
    <s v="21-27 Dic"/>
    <s v="Bolsa Transparente (Chavinda)"/>
    <x v="3"/>
    <n v="0"/>
    <n v="8000"/>
    <s v="07 21-27 Dic"/>
    <x v="1"/>
  </r>
  <r>
    <n v="7"/>
    <s v="21-27 Dic"/>
    <s v="AVV (PAGO MONARCA)"/>
    <x v="4"/>
    <n v="260435"/>
    <n v="0"/>
    <s v="07 21-27 Dic"/>
    <x v="1"/>
  </r>
  <r>
    <n v="7"/>
    <s v="21-27 Dic"/>
    <s v="telefono"/>
    <x v="2"/>
    <n v="12000"/>
    <n v="0"/>
    <s v="07 21-27 Dic"/>
    <x v="1"/>
  </r>
  <r>
    <n v="7"/>
    <s v="21-27 Dic"/>
    <s v="GUAYABAS LA ESPERANZA"/>
    <x v="1"/>
    <n v="50000"/>
    <n v="0"/>
    <s v="07 21-27 Dic"/>
    <x v="1"/>
  </r>
  <r>
    <n v="7"/>
    <s v="21-27 Dic"/>
    <s v="Contador Reymundo"/>
    <x v="2"/>
    <n v="2000"/>
    <n v="0"/>
    <s v="07 21-27 Dic"/>
    <x v="1"/>
  </r>
  <r>
    <n v="8"/>
    <s v="29 Dic 03 Ene"/>
    <s v="NOMINA FV"/>
    <x v="0"/>
    <n v="125037"/>
    <n v="0"/>
    <s v="08 29 Dic 03 Ene"/>
    <x v="1"/>
  </r>
  <r>
    <n v="8"/>
    <s v="29 Dic 03 Ene"/>
    <s v="ALEX Y RAFA"/>
    <x v="0"/>
    <n v="10000"/>
    <n v="0"/>
    <s v="08 29 Dic 03 Ene"/>
    <x v="1"/>
  </r>
  <r>
    <n v="8"/>
    <s v="29 Dic 03 Ene"/>
    <s v="LORE (Transporte Personal)"/>
    <x v="0"/>
    <n v="7308"/>
    <n v="0"/>
    <s v="08 29 Dic 03 Ene"/>
    <x v="1"/>
  </r>
  <r>
    <n v="8"/>
    <s v="29 Dic 03 Ene"/>
    <s v="SIMA (CALIBRACION)"/>
    <x v="2"/>
    <n v="0"/>
    <n v="2500"/>
    <s v="08 29 Dic 03 Ene"/>
    <x v="1"/>
  </r>
  <r>
    <n v="8"/>
    <s v="29 Dic 03 Ene"/>
    <s v="ROBERTO REYES"/>
    <x v="0"/>
    <n v="0"/>
    <n v="49247.8"/>
    <s v="08 29 Dic 03 Ene"/>
    <x v="1"/>
  </r>
  <r>
    <n v="8"/>
    <s v="29 Dic 03 Ene"/>
    <s v="Ing Aguilar , embolsadora"/>
    <x v="3"/>
    <n v="0"/>
    <n v="12000"/>
    <s v="08 29 Dic 03 Ene"/>
    <x v="1"/>
  </r>
  <r>
    <n v="8"/>
    <s v="29 Dic 03 Ene"/>
    <s v="Honorarios contador"/>
    <x v="2"/>
    <n v="0"/>
    <n v="9588.2800000000007"/>
    <s v="08 29 Dic 03 Ene"/>
    <x v="1"/>
  </r>
  <r>
    <n v="8"/>
    <s v="29 Dic 03 Ene"/>
    <s v="Cristian Ramirez"/>
    <x v="0"/>
    <n v="0"/>
    <n v="22800"/>
    <s v="08 29 Dic 03 Ene"/>
    <x v="1"/>
  </r>
  <r>
    <n v="8"/>
    <s v="29 Dic 03 Ene"/>
    <s v="CONTRATO REIMER (Lic Carlos)"/>
    <x v="4"/>
    <n v="9280"/>
    <n v="0"/>
    <s v="08 29 Dic 03 Ene"/>
    <x v="1"/>
  </r>
  <r>
    <n v="8"/>
    <s v="29 Dic 03 Ene"/>
    <s v="IMSS CXM"/>
    <x v="5"/>
    <n v="10000"/>
    <n v="0"/>
    <s v="08 29 Dic 03 Ene"/>
    <x v="1"/>
  </r>
  <r>
    <n v="8"/>
    <s v="29 Dic 03 Ene"/>
    <s v="PAGO CONTPAQ"/>
    <x v="4"/>
    <n v="6020.4"/>
    <n v="0"/>
    <s v="08 29 Dic 03 Ene"/>
    <x v="1"/>
  </r>
  <r>
    <n v="8"/>
    <s v="29 Dic 03 Ene"/>
    <s v="Primus Lab"/>
    <x v="2"/>
    <n v="3014.2"/>
    <n v="0"/>
    <s v="08 29 Dic 03 Ene"/>
    <x v="1"/>
  </r>
  <r>
    <n v="9"/>
    <s v="05 10 Ene"/>
    <s v="NOMINA FV"/>
    <x v="0"/>
    <n v="95000"/>
    <n v="0"/>
    <s v="09 05 10 Ene"/>
    <x v="2"/>
  </r>
  <r>
    <n v="9"/>
    <s v="05 10 Ene"/>
    <s v="NOMINA CXM"/>
    <x v="0"/>
    <n v="17800"/>
    <n v="0"/>
    <s v="09 05 10 Ene"/>
    <x v="2"/>
  </r>
  <r>
    <n v="9"/>
    <s v="05 10 Ene"/>
    <s v="ALEX Y RAFA"/>
    <x v="0"/>
    <n v="0"/>
    <n v="15000"/>
    <s v="09 05 10 Ene"/>
    <x v="2"/>
  </r>
  <r>
    <n v="9"/>
    <s v="05 10 Ene"/>
    <s v="NOMINA CXM"/>
    <x v="0"/>
    <n v="0"/>
    <n v="2500"/>
    <s v="09 05 10 Ene"/>
    <x v="2"/>
  </r>
  <r>
    <n v="9"/>
    <s v="05 10 Ene"/>
    <s v="SINDULFO"/>
    <x v="0"/>
    <n v="0"/>
    <n v="49247.8"/>
    <s v="09 05 10 Ene"/>
    <x v="2"/>
  </r>
  <r>
    <n v="9"/>
    <s v="05 10 Ene"/>
    <s v="Honorarios contador"/>
    <x v="2"/>
    <n v="0"/>
    <n v="12000"/>
    <s v="09 05 10 Ene"/>
    <x v="2"/>
  </r>
  <r>
    <n v="9"/>
    <s v="05 10 Ene"/>
    <s v="Cristian Ramirez"/>
    <x v="0"/>
    <n v="0"/>
    <n v="9588.2800000000007"/>
    <s v="09 05 10 Ene"/>
    <x v="2"/>
  </r>
  <r>
    <n v="9"/>
    <s v="05 10 Ene"/>
    <s v="Cristian Ramirez"/>
    <x v="0"/>
    <n v="0"/>
    <n v="22800"/>
    <s v="09 05 10 Ene"/>
    <x v="2"/>
  </r>
  <r>
    <n v="9"/>
    <s v="05 10 Ene"/>
    <s v="CODICE"/>
    <x v="3"/>
    <n v="3981.94"/>
    <n v="0"/>
    <s v="09 05 10 Ene"/>
    <x v="2"/>
  </r>
  <r>
    <n v="9"/>
    <s v="05 10 Ene"/>
    <s v="DIKEN"/>
    <x v="4"/>
    <n v="2041.71"/>
    <n v="0"/>
    <s v="09 05 10 Ene"/>
    <x v="2"/>
  </r>
  <r>
    <n v="9"/>
    <s v="05 10 Ene"/>
    <s v="IMSS CXM"/>
    <x v="5"/>
    <n v="0"/>
    <n v="10000"/>
    <s v="09 05 10 Ene"/>
    <x v="2"/>
  </r>
  <r>
    <n v="9"/>
    <s v="05 10 Ene"/>
    <s v="OMAR nomina"/>
    <x v="0"/>
    <n v="15600"/>
    <n v="0"/>
    <s v="09 05 10 Ene"/>
    <x v="2"/>
  </r>
  <r>
    <n v="9"/>
    <s v="05 10 Ene"/>
    <s v="OMAR"/>
    <x v="0"/>
    <n v="37500"/>
    <n v="0"/>
    <s v="09 05 10 Ene"/>
    <x v="2"/>
  </r>
  <r>
    <n v="10"/>
    <s v="11 17 Ene"/>
    <s v="NOMINA FV"/>
    <x v="0"/>
    <n v="73000"/>
    <n v="22000"/>
    <s v="10 11 17 Ene"/>
    <x v="2"/>
  </r>
  <r>
    <n v="10"/>
    <s v="11 17 Ene"/>
    <s v="NOMINA CXM"/>
    <x v="0"/>
    <n v="10200"/>
    <n v="14950"/>
    <s v="10 11 17 Ene"/>
    <x v="2"/>
  </r>
  <r>
    <n v="10"/>
    <s v="11 17 Ene"/>
    <s v="ALEX Y RAFA"/>
    <x v="0"/>
    <n v="0"/>
    <n v="15000"/>
    <s v="10 11 17 Ene"/>
    <x v="2"/>
  </r>
  <r>
    <n v="10"/>
    <s v="11 17 Ene"/>
    <s v="SINDULFO"/>
    <x v="0"/>
    <n v="0"/>
    <n v="49247.8"/>
    <s v="10 11 17 Ene"/>
    <x v="2"/>
  </r>
  <r>
    <n v="10"/>
    <s v="11 17 Ene"/>
    <s v="CIELO (TARIMAS)"/>
    <x v="3"/>
    <n v="0"/>
    <n v="15660"/>
    <s v="10 11 17 Ene"/>
    <x v="2"/>
  </r>
  <r>
    <n v="10"/>
    <s v="11 17 Ene"/>
    <s v="Honorarios contador"/>
    <x v="2"/>
    <n v="0"/>
    <n v="5802"/>
    <s v="10 11 17 Ene"/>
    <x v="2"/>
  </r>
  <r>
    <n v="10"/>
    <s v="11 17 Ene"/>
    <s v="Cristian Ramirez"/>
    <x v="0"/>
    <n v="0"/>
    <n v="37000"/>
    <s v="10 11 17 Ene"/>
    <x v="2"/>
  </r>
  <r>
    <n v="10"/>
    <s v="11 17 Ene"/>
    <s v="Bolsa (Chavinda)"/>
    <x v="3"/>
    <n v="0"/>
    <n v="8460.6"/>
    <s v="10 11 17 Ene"/>
    <x v="2"/>
  </r>
  <r>
    <n v="10"/>
    <s v="11 17 Ene"/>
    <s v="CAJA CARTON (PATAGONIA)"/>
    <x v="3"/>
    <n v="0"/>
    <n v="9744"/>
    <s v="10 11 17 Ene"/>
    <x v="2"/>
  </r>
  <r>
    <n v="10"/>
    <s v="11 17 Ene"/>
    <s v="SANICHEM"/>
    <x v="2"/>
    <n v="0"/>
    <n v="7389.2"/>
    <s v="10 11 17 Ene"/>
    <x v="2"/>
  </r>
  <r>
    <n v="10"/>
    <s v="11 17 Ene"/>
    <s v="TRANSPORTE LORE"/>
    <x v="0"/>
    <n v="0"/>
    <n v="9570"/>
    <s v="10 11 17 Ene"/>
    <x v="2"/>
  </r>
  <r>
    <n v="10"/>
    <s v="11 17 Ene"/>
    <s v="DELFIN"/>
    <x v="4"/>
    <n v="0"/>
    <n v="246.44"/>
    <s v="10 11 17 Ene"/>
    <x v="2"/>
  </r>
  <r>
    <n v="10"/>
    <s v="11 17 Ene"/>
    <s v="PROLIZA"/>
    <x v="4"/>
    <n v="0"/>
    <n v="593.5"/>
    <s v="10 11 17 Ene"/>
    <x v="2"/>
  </r>
  <r>
    <n v="10"/>
    <s v="11 17 Ene"/>
    <s v="IMPUESTOS OCTUBRE LAR"/>
    <x v="5"/>
    <n v="0"/>
    <n v="7900"/>
    <s v="10 11 17 Ene"/>
    <x v="2"/>
  </r>
  <r>
    <n v="10"/>
    <s v="11 17 Ene"/>
    <s v="ADEUDO GALU"/>
    <x v="6"/>
    <n v="0"/>
    <n v="47000"/>
    <s v="10 11 17 Ene"/>
    <x v="2"/>
  </r>
  <r>
    <n v="10"/>
    <s v="11 17 Ene"/>
    <s v="CAJA CARTON (RUTH)"/>
    <x v="3"/>
    <n v="0"/>
    <n v="20000"/>
    <s v="10 11 17 Ene"/>
    <x v="2"/>
  </r>
  <r>
    <n v="10"/>
    <s v="11 17 Ene"/>
    <s v="CAJA CARTON (PATAGONIA)"/>
    <x v="3"/>
    <n v="0"/>
    <n v="13400"/>
    <s v="10 11 17 Ene"/>
    <x v="2"/>
  </r>
  <r>
    <n v="10"/>
    <s v="11 17 Ene"/>
    <s v="CAJA PATAGONI Y EMBAPACK"/>
    <x v="3"/>
    <n v="0"/>
    <n v="15000"/>
    <s v="10 11 17 Ene"/>
    <x v="2"/>
  </r>
  <r>
    <n v="11"/>
    <s v="19 24 Ene"/>
    <s v="NOMINA FV"/>
    <x v="0"/>
    <n v="95000"/>
    <n v="0"/>
    <s v="11 19 24 Ene"/>
    <x v="2"/>
  </r>
  <r>
    <n v="11"/>
    <s v="19 24 Ene"/>
    <s v="NOMINA CXM"/>
    <x v="0"/>
    <n v="25250"/>
    <n v="0"/>
    <s v="11 19 24 Ene"/>
    <x v="2"/>
  </r>
  <r>
    <n v="11"/>
    <s v="19 24 Ene"/>
    <s v="SINDULFO"/>
    <x v="0"/>
    <n v="0"/>
    <n v="49247.8"/>
    <s v="11 19 24 Ene"/>
    <x v="2"/>
  </r>
  <r>
    <n v="11"/>
    <s v="19 24 Ene"/>
    <s v="Honorarios contador"/>
    <x v="2"/>
    <n v="6632.96"/>
    <n v="0"/>
    <s v="11 19 24 Ene"/>
    <x v="2"/>
  </r>
  <r>
    <n v="11"/>
    <s v="19 24 Ene"/>
    <s v="ADEUDO GALU"/>
    <x v="6"/>
    <n v="0"/>
    <n v="47000"/>
    <s v="11 19 24 Ene"/>
    <x v="2"/>
  </r>
  <r>
    <n v="11"/>
    <s v="19 24 Ene"/>
    <s v="CAJA CARTON (PATAGONIA)"/>
    <x v="3"/>
    <n v="3897.6"/>
    <n v="0"/>
    <s v="11 19 24 Ene"/>
    <x v="2"/>
  </r>
  <r>
    <n v="11"/>
    <s v="19 24 Ene"/>
    <s v="CAJA PATAGONIA"/>
    <x v="3"/>
    <n v="16800"/>
    <n v="0"/>
    <s v="11 19 24 Ene"/>
    <x v="2"/>
  </r>
  <r>
    <n v="12"/>
    <s v="26 31 Ene"/>
    <s v="NOMINA FV"/>
    <x v="0"/>
    <n v="120000"/>
    <n v="0"/>
    <s v="12 26 31 Ene"/>
    <x v="2"/>
  </r>
  <r>
    <n v="12"/>
    <s v="26 31 Ene"/>
    <s v="NOMINA CXM"/>
    <x v="0"/>
    <n v="14950"/>
    <n v="0"/>
    <s v="12 26 31 Ene"/>
    <x v="2"/>
  </r>
  <r>
    <n v="12"/>
    <s v="26 31 Ene"/>
    <s v="RAISA"/>
    <x v="0"/>
    <n v="0"/>
    <n v="20000"/>
    <s v="12 26 31 Ene"/>
    <x v="2"/>
  </r>
  <r>
    <n v="12"/>
    <s v="26 31 Ene"/>
    <s v="ALEX Y RAFA"/>
    <x v="0"/>
    <n v="15000"/>
    <n v="0"/>
    <s v="12 26 31 Ene"/>
    <x v="2"/>
  </r>
  <r>
    <n v="12"/>
    <s v="26 31 Ene"/>
    <s v="LORE (Transporte Personal)"/>
    <x v="0"/>
    <n v="0"/>
    <n v="8526"/>
    <s v="12 26 31 Ene"/>
    <x v="2"/>
  </r>
  <r>
    <n v="12"/>
    <s v="26 31 Ene"/>
    <s v="SINDULFO"/>
    <x v="0"/>
    <n v="0"/>
    <n v="49247.8"/>
    <s v="12 26 31 Ene"/>
    <x v="2"/>
  </r>
  <r>
    <n v="12"/>
    <s v="26 31 Ene"/>
    <s v="EMBAPACK"/>
    <x v="3"/>
    <n v="0"/>
    <n v="2987"/>
    <s v="12 26 31 Ene"/>
    <x v="2"/>
  </r>
  <r>
    <n v="12"/>
    <s v="26 31 Ene"/>
    <s v="CIELO (TARIMAS)"/>
    <x v="3"/>
    <n v="0"/>
    <n v="16240"/>
    <s v="12 26 31 Ene"/>
    <x v="2"/>
  </r>
  <r>
    <n v="12"/>
    <s v="26 31 Ene"/>
    <s v="Ing Aguilar , embolsadora"/>
    <x v="3"/>
    <n v="0"/>
    <n v="35178"/>
    <s v="12 26 31 Ene"/>
    <x v="2"/>
  </r>
  <r>
    <n v="12"/>
    <s v="26 31 Ene"/>
    <s v="Honorarios contador"/>
    <x v="2"/>
    <n v="13226"/>
    <n v="0"/>
    <s v="12 26 31 Ene"/>
    <x v="2"/>
  </r>
  <r>
    <n v="12"/>
    <s v="26 31 Ene"/>
    <s v="Cristian Ramirez"/>
    <x v="0"/>
    <n v="0"/>
    <n v="28500"/>
    <s v="12 26 31 Ene"/>
    <x v="2"/>
  </r>
  <r>
    <n v="12"/>
    <s v="26 31 Ene"/>
    <s v="Cristian Ramirez"/>
    <x v="0"/>
    <n v="0"/>
    <n v="25500"/>
    <s v="12 26 31 Ene"/>
    <x v="2"/>
  </r>
  <r>
    <n v="12"/>
    <s v="26 31 Ene"/>
    <s v="gastos"/>
    <x v="4"/>
    <n v="0"/>
    <n v="10000"/>
    <s v="12 26 31 Ene"/>
    <x v="2"/>
  </r>
  <r>
    <n v="12"/>
    <s v="26 31 Ene"/>
    <s v="SANICHEM"/>
    <x v="2"/>
    <n v="0"/>
    <n v="5007"/>
    <s v="12 26 31 Ene"/>
    <x v="2"/>
  </r>
  <r>
    <n v="12"/>
    <s v="26 31 Ene"/>
    <s v="IMSS"/>
    <x v="5"/>
    <n v="30000"/>
    <n v="10000"/>
    <s v="12 26 31 Ene"/>
    <x v="2"/>
  </r>
  <r>
    <n v="12"/>
    <s v="26 31 Ene"/>
    <s v="ADEUDO GALU"/>
    <x v="6"/>
    <n v="0"/>
    <n v="47000"/>
    <s v="12 26 31 Ene"/>
    <x v="2"/>
  </r>
  <r>
    <n v="12"/>
    <s v="26 31 Ene"/>
    <s v="BOLSA 30 LBS CHAVINDA"/>
    <x v="3"/>
    <n v="0"/>
    <n v="8700"/>
    <s v="12 26 31 Ene"/>
    <x v="2"/>
  </r>
  <r>
    <n v="12"/>
    <s v="26 31 Ene"/>
    <s v="CAJA CARTON (PATAGONIA) 20 y 30 lbs"/>
    <x v="3"/>
    <n v="9802"/>
    <n v="0"/>
    <s v="12 26 31 Ene"/>
    <x v="2"/>
  </r>
  <r>
    <n v="13"/>
    <s v="01 07 Feb"/>
    <s v="NOMINA FV"/>
    <x v="0"/>
    <n v="110000"/>
    <n v="0"/>
    <s v="13 01 07 Feb"/>
    <x v="3"/>
  </r>
  <r>
    <n v="13"/>
    <s v="01 07 Feb"/>
    <s v="NOMINA CXM"/>
    <x v="0"/>
    <n v="19950"/>
    <n v="0"/>
    <s v="13 01 07 Feb"/>
    <x v="3"/>
  </r>
  <r>
    <n v="13"/>
    <s v="01 07 Feb"/>
    <s v="RAISA"/>
    <x v="0"/>
    <n v="29000"/>
    <n v="0"/>
    <s v="13 01 07 Feb"/>
    <x v="3"/>
  </r>
  <r>
    <n v="13"/>
    <s v="01 07 Feb"/>
    <s v="ALEX Y RAFA"/>
    <x v="0"/>
    <n v="20000"/>
    <n v="0"/>
    <s v="13 01 07 Feb"/>
    <x v="3"/>
  </r>
  <r>
    <n v="13"/>
    <s v="01 07 Feb"/>
    <s v="LORE (Transporte Personal)"/>
    <x v="0"/>
    <n v="0"/>
    <n v="8526"/>
    <s v="13 01 07 Feb"/>
    <x v="3"/>
  </r>
  <r>
    <n v="13"/>
    <s v="01 07 Feb"/>
    <s v="SINDULFO"/>
    <x v="0"/>
    <n v="0"/>
    <n v="49247.8"/>
    <s v="13 01 07 Feb"/>
    <x v="3"/>
  </r>
  <r>
    <n v="13"/>
    <s v="01 07 Feb"/>
    <s v="Ing Aguilar , embolsadora"/>
    <x v="3"/>
    <n v="0"/>
    <n v="35178"/>
    <s v="13 01 07 Feb"/>
    <x v="3"/>
  </r>
  <r>
    <n v="13"/>
    <s v="01 07 Feb"/>
    <s v="Honorarios contador"/>
    <x v="2"/>
    <n v="5608"/>
    <n v="0"/>
    <s v="13 01 07 Feb"/>
    <x v="3"/>
  </r>
  <r>
    <n v="13"/>
    <s v="01 07 Feb"/>
    <s v="Cristian Ramirez"/>
    <x v="0"/>
    <n v="0"/>
    <n v="28500"/>
    <s v="13 01 07 Feb"/>
    <x v="3"/>
  </r>
  <r>
    <n v="13"/>
    <s v="01 07 Feb"/>
    <s v="CAJA RUTH GDL"/>
    <x v="3"/>
    <n v="44000"/>
    <n v="0"/>
    <s v="13 01 07 Feb"/>
    <x v="3"/>
  </r>
  <r>
    <n v="13"/>
    <s v="01 07 Feb"/>
    <s v="IMSS"/>
    <x v="5"/>
    <n v="0"/>
    <n v="30000"/>
    <s v="13 01 07 Feb"/>
    <x v="3"/>
  </r>
  <r>
    <n v="13"/>
    <s v="01 07 Feb"/>
    <s v="ADEUDO GALU"/>
    <x v="6"/>
    <n v="0"/>
    <n v="47000"/>
    <s v="13 01 07 Feb"/>
    <x v="3"/>
  </r>
  <r>
    <n v="13"/>
    <s v="01 07 Feb"/>
    <s v="CAJA CARTON (PATAGONIA) 20 y 30 lbs"/>
    <x v="3"/>
    <n v="0"/>
    <n v="9802"/>
    <s v="13 01 07 Feb"/>
    <x v="3"/>
  </r>
  <r>
    <n v="14"/>
    <s v="09 14 Feb"/>
    <s v="NOMINA FV"/>
    <x v="0"/>
    <n v="98000"/>
    <n v="12500"/>
    <s v="14 09 14 Feb"/>
    <x v="3"/>
  </r>
  <r>
    <n v="14"/>
    <s v="09 14 Feb"/>
    <s v="NOMINA CXM"/>
    <x v="0"/>
    <n v="9950"/>
    <n v="0"/>
    <s v="14 09 14 Feb"/>
    <x v="3"/>
  </r>
  <r>
    <n v="14"/>
    <s v="09 14 Feb"/>
    <s v="RAISA"/>
    <x v="0"/>
    <n v="27783.47"/>
    <n v="0"/>
    <s v="14 09 14 Feb"/>
    <x v="3"/>
  </r>
  <r>
    <n v="14"/>
    <s v="09 14 Feb"/>
    <s v="RAISA"/>
    <x v="0"/>
    <n v="0"/>
    <n v="19105"/>
    <s v="14 09 14 Feb"/>
    <x v="3"/>
  </r>
  <r>
    <n v="14"/>
    <s v="09 14 Feb"/>
    <s v="EMBAPACK"/>
    <x v="3"/>
    <n v="3940.45"/>
    <n v="0"/>
    <s v="14 09 14 Feb"/>
    <x v="3"/>
  </r>
  <r>
    <n v="14"/>
    <s v="09 14 Feb"/>
    <s v="ALEX Y RAFA"/>
    <x v="0"/>
    <n v="0"/>
    <n v="19999.8"/>
    <s v="14 09 14 Feb"/>
    <x v="3"/>
  </r>
  <r>
    <n v="14"/>
    <s v="09 14 Feb"/>
    <s v="LORE (Transporte Personal)"/>
    <x v="0"/>
    <n v="0"/>
    <n v="8526"/>
    <s v="14 09 14 Feb"/>
    <x v="3"/>
  </r>
  <r>
    <n v="14"/>
    <s v="09 14 Feb"/>
    <s v="SINDULFO"/>
    <x v="0"/>
    <n v="0"/>
    <n v="49247.8"/>
    <s v="14 09 14 Feb"/>
    <x v="3"/>
  </r>
  <r>
    <n v="14"/>
    <s v="09 14 Feb"/>
    <s v="Ing Aguilar , embolsadora"/>
    <x v="3"/>
    <n v="0"/>
    <n v="35178"/>
    <s v="14 09 14 Feb"/>
    <x v="3"/>
  </r>
  <r>
    <n v="14"/>
    <s v="09 14 Feb"/>
    <s v="Honorarios contador"/>
    <x v="2"/>
    <n v="3920"/>
    <n v="0"/>
    <s v="14 09 14 Feb"/>
    <x v="3"/>
  </r>
  <r>
    <n v="14"/>
    <s v="09 14 Feb"/>
    <s v="Cristian Ramirez"/>
    <x v="0"/>
    <n v="28500"/>
    <n v="0"/>
    <s v="14 09 14 Feb"/>
    <x v="3"/>
  </r>
  <r>
    <n v="14"/>
    <s v="09 14 Feb"/>
    <s v="Edgar Joel Vega Martínez (Emplaye)"/>
    <x v="3"/>
    <n v="2728.32"/>
    <n v="0"/>
    <s v="14 09 14 Feb"/>
    <x v="3"/>
  </r>
  <r>
    <n v="14"/>
    <s v="09 14 Feb"/>
    <s v="CAJA RUTH GDL"/>
    <x v="3"/>
    <n v="33328.910000000003"/>
    <n v="9280"/>
    <s v="14 09 14 Feb"/>
    <x v="3"/>
  </r>
  <r>
    <n v="14"/>
    <s v="09 14 Feb"/>
    <s v="IMSS"/>
    <x v="5"/>
    <n v="0"/>
    <n v="30000"/>
    <s v="14 09 14 Feb"/>
    <x v="3"/>
  </r>
  <r>
    <n v="14"/>
    <s v="09 14 Feb"/>
    <s v="ADEUDO GALU"/>
    <x v="6"/>
    <n v="0"/>
    <n v="47000"/>
    <s v="14 09 14 Feb"/>
    <x v="3"/>
  </r>
  <r>
    <n v="14"/>
    <s v="09 14 Feb"/>
    <s v="BOLSA 30 LBS CHAVINDA"/>
    <x v="3"/>
    <n v="0"/>
    <n v="5800"/>
    <s v="14 09 14 Feb"/>
    <x v="3"/>
  </r>
  <r>
    <n v="14"/>
    <s v="09 14 Feb"/>
    <s v="MARACUYA BORREGOS"/>
    <x v="4"/>
    <n v="2400"/>
    <n v="0"/>
    <s v="14 09 14 Feb"/>
    <x v="3"/>
  </r>
  <r>
    <n v="14"/>
    <s v="09 14 Feb"/>
    <s v="SEGURO AVEO"/>
    <x v="4"/>
    <n v="0"/>
    <n v="2028.84"/>
    <s v="14 09 14 Feb"/>
    <x v="3"/>
  </r>
  <r>
    <n v="15"/>
    <s v="16 21 Feb"/>
    <s v="NOMINA FV"/>
    <x v="0"/>
    <n v="110000"/>
    <n v="110000"/>
    <s v="15 16 21 Feb"/>
    <x v="3"/>
  </r>
  <r>
    <n v="15"/>
    <s v="16 21 Feb"/>
    <s v="NOMINA CXM"/>
    <x v="0"/>
    <n v="18750"/>
    <n v="20000"/>
    <s v="15 16 21 Feb"/>
    <x v="3"/>
  </r>
  <r>
    <n v="15"/>
    <s v="16 21 Feb"/>
    <s v="RAISA"/>
    <x v="0"/>
    <n v="0"/>
    <n v="30000"/>
    <s v="15 16 21 Feb"/>
    <x v="3"/>
  </r>
  <r>
    <n v="15"/>
    <s v="16 21 Feb"/>
    <s v="EMBAPACK"/>
    <x v="3"/>
    <n v="5916"/>
    <n v="0"/>
    <s v="15 16 21 Feb"/>
    <x v="3"/>
  </r>
  <r>
    <n v="15"/>
    <s v="16 21 Feb"/>
    <s v="ALEX Y RAFA"/>
    <x v="0"/>
    <n v="19999.8"/>
    <n v="10000"/>
    <s v="15 16 21 Feb"/>
    <x v="3"/>
  </r>
  <r>
    <n v="15"/>
    <s v="16 21 Feb"/>
    <s v="LORE (Transporte Personal)"/>
    <x v="0"/>
    <n v="0"/>
    <n v="8526"/>
    <s v="15 16 21 Feb"/>
    <x v="3"/>
  </r>
  <r>
    <n v="15"/>
    <s v="16 21 Feb"/>
    <s v="SINDULFO"/>
    <x v="0"/>
    <n v="0"/>
    <n v="49247.8"/>
    <s v="15 16 21 Feb"/>
    <x v="3"/>
  </r>
  <r>
    <n v="15"/>
    <s v="16 21 Feb"/>
    <s v="LALO AGUIRRE"/>
    <x v="0"/>
    <n v="4045.02"/>
    <n v="0"/>
    <s v="15 16 21 Feb"/>
    <x v="3"/>
  </r>
  <r>
    <n v="15"/>
    <s v="16 21 Feb"/>
    <s v="Alejandro Rodriguez"/>
    <x v="4"/>
    <n v="20000"/>
    <n v="0"/>
    <s v="15 16 21 Feb"/>
    <x v="3"/>
  </r>
  <r>
    <n v="15"/>
    <s v="16 21 Feb"/>
    <s v="Honorarios contador"/>
    <x v="2"/>
    <n v="1575"/>
    <n v="0"/>
    <s v="15 16 21 Feb"/>
    <x v="3"/>
  </r>
  <r>
    <n v="15"/>
    <s v="16 21 Feb"/>
    <s v="CAJA RUTH GDL"/>
    <x v="3"/>
    <n v="0"/>
    <n v="42000"/>
    <s v="15 16 21 Feb"/>
    <x v="3"/>
  </r>
  <r>
    <n v="15"/>
    <s v="16 21 Feb"/>
    <s v="IMSS"/>
    <x v="5"/>
    <n v="0"/>
    <n v="45000"/>
    <s v="15 16 21 Feb"/>
    <x v="3"/>
  </r>
  <r>
    <n v="15"/>
    <s v="16 21 Feb"/>
    <s v="ADEUDO GALU"/>
    <x v="6"/>
    <n v="0"/>
    <n v="47000"/>
    <s v="15 16 21 Feb"/>
    <x v="3"/>
  </r>
  <r>
    <n v="15"/>
    <s v="16 21 Feb"/>
    <s v="BOLSA 30 LBS CHAVINDA"/>
    <x v="3"/>
    <n v="7250"/>
    <n v="0"/>
    <s v="15 16 21 Feb"/>
    <x v="3"/>
  </r>
  <r>
    <n v="15"/>
    <s v="16 21 Feb"/>
    <s v="CAJA CARTON (PATAGONIA) 20 y 30 lbs"/>
    <x v="3"/>
    <n v="9802"/>
    <n v="0"/>
    <s v="15 16 21 Feb"/>
    <x v="3"/>
  </r>
  <r>
    <n v="15"/>
    <s v="16 21 Feb"/>
    <s v="AVV MONARCA"/>
    <x v="4"/>
    <n v="0"/>
    <n v="15000"/>
    <s v="15 16 21 Feb"/>
    <x v="3"/>
  </r>
  <r>
    <n v="15"/>
    <s v="16 21 Feb"/>
    <s v="VERIFICACION FLOSOL"/>
    <x v="4"/>
    <n v="8000"/>
    <n v="0"/>
    <s v="15 16 21 Feb"/>
    <x v="3"/>
  </r>
  <r>
    <n v="16"/>
    <s v="23 28 Feb"/>
    <s v="NOMINA FV"/>
    <x v="0"/>
    <n v="100000"/>
    <n v="0"/>
    <s v="16 23 28 Feb"/>
    <x v="3"/>
  </r>
  <r>
    <n v="16"/>
    <s v="23 28 Feb"/>
    <s v="NOMINA CXM"/>
    <x v="0"/>
    <n v="21800"/>
    <n v="0"/>
    <s v="16 23 28 Feb"/>
    <x v="3"/>
  </r>
  <r>
    <n v="16"/>
    <s v="23 28 Feb"/>
    <s v="RAISA"/>
    <x v="0"/>
    <n v="30000"/>
    <n v="30000"/>
    <s v="16 23 28 Feb"/>
    <x v="3"/>
  </r>
  <r>
    <n v="16"/>
    <s v="23 28 Feb"/>
    <s v="ALEX Y RAFA"/>
    <x v="0"/>
    <n v="10000"/>
    <n v="10000"/>
    <s v="16 23 28 Feb"/>
    <x v="3"/>
  </r>
  <r>
    <n v="16"/>
    <s v="23 28 Feb"/>
    <s v="LALO AGUIRRE"/>
    <x v="0"/>
    <n v="10000"/>
    <n v="0"/>
    <s v="16 23 28 Feb"/>
    <x v="3"/>
  </r>
  <r>
    <n v="16"/>
    <s v="23 28 Feb"/>
    <s v="Honorarios contador"/>
    <x v="2"/>
    <n v="5115.6000000000004"/>
    <n v="0"/>
    <s v="16 23 28 Feb"/>
    <x v="3"/>
  </r>
  <r>
    <n v="16"/>
    <s v="23 28 Feb"/>
    <s v="CAJA RUTH GDL"/>
    <x v="3"/>
    <n v="0"/>
    <n v="42000"/>
    <s v="16 23 28 Feb"/>
    <x v="3"/>
  </r>
  <r>
    <n v="16"/>
    <s v="23 28 Feb"/>
    <s v="IMSS"/>
    <x v="5"/>
    <n v="0"/>
    <n v="15000"/>
    <s v="16 23 28 Feb"/>
    <x v="3"/>
  </r>
  <r>
    <n v="16"/>
    <s v="23 28 Feb"/>
    <s v="BOLSA 30 LBS CHAVINDA"/>
    <x v="3"/>
    <n v="7250"/>
    <n v="0"/>
    <s v="16 23 28 Feb"/>
    <x v="3"/>
  </r>
  <r>
    <n v="16"/>
    <s v="23 28 Feb"/>
    <s v="CAJA CARTON (PATAGONIA) 20 y 30 lbs"/>
    <x v="3"/>
    <n v="9802"/>
    <n v="0"/>
    <s v="16 23 28 Feb"/>
    <x v="3"/>
  </r>
  <r>
    <n v="16"/>
    <s v="23 28 Feb"/>
    <s v="AVV"/>
    <x v="4"/>
    <n v="6500"/>
    <n v="6500"/>
    <s v="16 23 28 Feb"/>
    <x v="3"/>
  </r>
  <r>
    <n v="17"/>
    <s v="02 07 Mar"/>
    <s v="NOMINA FV"/>
    <x v="0"/>
    <n v="110000"/>
    <n v="70000"/>
    <s v="17 02 07 Mar"/>
    <x v="4"/>
  </r>
  <r>
    <n v="17"/>
    <s v="02 07 Mar"/>
    <s v="NOMINA CXM"/>
    <x v="0"/>
    <n v="19950"/>
    <n v="0"/>
    <s v="17 02 07 Mar"/>
    <x v="4"/>
  </r>
  <r>
    <n v="17"/>
    <s v="02 07 Mar"/>
    <s v="RAISA"/>
    <x v="0"/>
    <n v="30000"/>
    <n v="45000"/>
    <s v="17 02 07 Mar"/>
    <x v="4"/>
  </r>
  <r>
    <n v="17"/>
    <s v="02 07 Mar"/>
    <s v="EMBAPACK Bolsa Verde)"/>
    <x v="3"/>
    <n v="0"/>
    <n v="8961"/>
    <s v="17 02 07 Mar"/>
    <x v="4"/>
  </r>
  <r>
    <n v="17"/>
    <s v="02 07 Mar"/>
    <s v="ALEX Y RAFA"/>
    <x v="0"/>
    <n v="0"/>
    <n v="10000"/>
    <s v="17 02 07 Mar"/>
    <x v="4"/>
  </r>
  <r>
    <n v="17"/>
    <s v="02 07 Mar"/>
    <s v="LALO AGUIRRE"/>
    <x v="0"/>
    <n v="6811.7"/>
    <n v="0"/>
    <s v="17 02 07 Mar"/>
    <x v="4"/>
  </r>
  <r>
    <n v="17"/>
    <s v="02 07 Mar"/>
    <s v="Honorarios contador"/>
    <x v="2"/>
    <n v="5457.9"/>
    <n v="2940"/>
    <s v="17 02 07 Mar"/>
    <x v="4"/>
  </r>
  <r>
    <n v="17"/>
    <s v="02 07 Mar"/>
    <s v="Cristian Ramirez"/>
    <x v="0"/>
    <n v="0"/>
    <n v="28500"/>
    <s v="17 02 07 Mar"/>
    <x v="4"/>
  </r>
  <r>
    <n v="17"/>
    <s v="02 07 Mar"/>
    <s v="CAJA RUTH GDL"/>
    <x v="3"/>
    <n v="20000"/>
    <n v="28477.37"/>
    <s v="17 02 07 Mar"/>
    <x v="4"/>
  </r>
  <r>
    <n v="17"/>
    <s v="02 07 Mar"/>
    <s v="IMSS"/>
    <x v="5"/>
    <n v="0"/>
    <n v="25000"/>
    <s v="17 02 07 Mar"/>
    <x v="4"/>
  </r>
  <r>
    <n v="17"/>
    <s v="02 07 Mar"/>
    <s v="BOLSA 30 LBS CHAVINDA"/>
    <x v="3"/>
    <n v="0"/>
    <n v="7250"/>
    <s v="17 02 07 Mar"/>
    <x v="4"/>
  </r>
  <r>
    <n v="17"/>
    <s v="02 07 Mar"/>
    <s v="CAJA CARTON (PATAGONIA) 20 y 30 lbs"/>
    <x v="3"/>
    <n v="1896.6"/>
    <n v="15549.8"/>
    <s v="17 02 07 Mar"/>
    <x v="4"/>
  </r>
  <r>
    <n v="17"/>
    <s v="02 07 Mar"/>
    <s v="FRENOS CAMIONETA JESUS"/>
    <x v="4"/>
    <n v="8120"/>
    <n v="0"/>
    <s v="17 02 07 Mar"/>
    <x v="4"/>
  </r>
  <r>
    <n v="17"/>
    <s v="02 07 Mar"/>
    <s v="ETIQUETAS"/>
    <x v="3"/>
    <n v="2868"/>
    <n v="2868"/>
    <s v="17 02 07 Mar"/>
    <x v="4"/>
  </r>
  <r>
    <n v="18"/>
    <s v="09-14 Mar"/>
    <s v="NOMINA FV"/>
    <x v="0"/>
    <n v="110000"/>
    <n v="0"/>
    <s v="18 09-14 Mar"/>
    <x v="4"/>
  </r>
  <r>
    <n v="18"/>
    <s v="09-14 Mar"/>
    <s v="NOMINA CXM"/>
    <x v="0"/>
    <n v="22000"/>
    <n v="0"/>
    <s v="18 09-14 Mar"/>
    <x v="4"/>
  </r>
  <r>
    <n v="18"/>
    <s v="09-14 Mar"/>
    <s v="RAISA"/>
    <x v="0"/>
    <n v="24415.439999999999"/>
    <n v="0"/>
    <s v="18 09-14 Mar"/>
    <x v="4"/>
  </r>
  <r>
    <n v="18"/>
    <s v="09-14 Mar"/>
    <s v="EMBAPACK Bolsa Verde)"/>
    <x v="3"/>
    <n v="1493.5"/>
    <n v="7467.5"/>
    <s v="18 09-14 Mar"/>
    <x v="4"/>
  </r>
  <r>
    <n v="18"/>
    <s v="09-14 Mar"/>
    <s v="ALEX Y RAFA"/>
    <x v="0"/>
    <n v="0"/>
    <n v="10000"/>
    <s v="18 09-14 Mar"/>
    <x v="4"/>
  </r>
  <r>
    <n v="18"/>
    <s v="09-14 Mar"/>
    <s v="Honorarios contador"/>
    <x v="2"/>
    <n v="6822.9840000000004"/>
    <n v="0"/>
    <s v="18 09-14 Mar"/>
    <x v="4"/>
  </r>
  <r>
    <n v="18"/>
    <s v="09-14 Mar"/>
    <s v="Cristian Ramirez"/>
    <x v="0"/>
    <n v="0"/>
    <n v="28500"/>
    <s v="18 09-14 Mar"/>
    <x v="4"/>
  </r>
  <r>
    <n v="18"/>
    <s v="09-14 Mar"/>
    <s v="JOSE HDEZ GARCIA (PAGO TARIMA)"/>
    <x v="3"/>
    <n v="0"/>
    <n v="15370"/>
    <s v="18 09-14 Mar"/>
    <x v="4"/>
  </r>
  <r>
    <n v="18"/>
    <s v="09-14 Mar"/>
    <s v="CAJA RUTH GDL"/>
    <x v="3"/>
    <n v="0"/>
    <n v="28477.37"/>
    <s v="18 09-14 Mar"/>
    <x v="4"/>
  </r>
  <r>
    <n v="18"/>
    <s v="09-14 Mar"/>
    <s v="IMSS"/>
    <x v="5"/>
    <n v="0"/>
    <n v="25000"/>
    <s v="18 09-14 Mar"/>
    <x v="4"/>
  </r>
  <r>
    <n v="18"/>
    <s v="09-14 Mar"/>
    <s v="BOLSA 30 LBS CHAVINDA"/>
    <x v="3"/>
    <n v="0"/>
    <n v="7250"/>
    <s v="18 09-14 Mar"/>
    <x v="4"/>
  </r>
  <r>
    <n v="18"/>
    <s v="09-14 Mar"/>
    <s v="ALEJANDRO RODRIGUEZ"/>
    <x v="4"/>
    <n v="20000"/>
    <n v="0"/>
    <s v="18 09-14 Mar"/>
    <x v="4"/>
  </r>
  <r>
    <n v="18"/>
    <s v="09-14 Mar"/>
    <s v="MARACUYA"/>
    <x v="4"/>
    <n v="2400"/>
    <n v="0"/>
    <s v="18 09-14 Mar"/>
    <x v="4"/>
  </r>
  <r>
    <n v="19"/>
    <s v="16 21 Mar"/>
    <s v="NOMINA FV"/>
    <x v="0"/>
    <n v="10000"/>
    <n v="100000"/>
    <s v="19 16 21 Mar"/>
    <x v="4"/>
  </r>
  <r>
    <n v="19"/>
    <s v="16 21 Mar"/>
    <s v="NOMINA JACONA"/>
    <x v="0"/>
    <n v="10800"/>
    <n v="10800"/>
    <s v="19 16 21 Mar"/>
    <x v="4"/>
  </r>
  <r>
    <n v="19"/>
    <s v="16 21 Mar"/>
    <s v="NOMINA CXM"/>
    <x v="0"/>
    <n v="10000"/>
    <n v="8950"/>
    <s v="19 16 21 Mar"/>
    <x v="4"/>
  </r>
  <r>
    <n v="19"/>
    <s v="16 21 Mar"/>
    <s v="RAISA"/>
    <x v="0"/>
    <n v="0"/>
    <n v="35000"/>
    <s v="19 16 21 Mar"/>
    <x v="4"/>
  </r>
  <r>
    <n v="19"/>
    <s v="16 21 Mar"/>
    <s v="EMBAPACK Bolsa Verde)"/>
    <x v="3"/>
    <n v="0"/>
    <n v="7467.5"/>
    <s v="19 16 21 Mar"/>
    <x v="4"/>
  </r>
  <r>
    <n v="19"/>
    <s v="16 21 Mar"/>
    <s v="ALEX Y RAFA"/>
    <x v="0"/>
    <n v="0"/>
    <n v="10000"/>
    <s v="19 16 21 Mar"/>
    <x v="4"/>
  </r>
  <r>
    <n v="19"/>
    <s v="16 21 Mar"/>
    <s v="CIPSA"/>
    <x v="2"/>
    <n v="3828"/>
    <n v="0"/>
    <s v="19 16 21 Mar"/>
    <x v="4"/>
  </r>
  <r>
    <n v="19"/>
    <s v="16 21 Mar"/>
    <s v="TRAMITES CFE"/>
    <x v="4"/>
    <n v="14500"/>
    <n v="0"/>
    <s v="19 16 21 Mar"/>
    <x v="4"/>
  </r>
  <r>
    <n v="19"/>
    <s v="16 21 Mar"/>
    <s v="Honorarios contador"/>
    <x v="2"/>
    <n v="6323.1"/>
    <n v="0"/>
    <s v="19 16 21 Mar"/>
    <x v="4"/>
  </r>
  <r>
    <n v="19"/>
    <s v="16 21 Mar"/>
    <s v="Edgar Joel Vega Martínez (Emplaye)"/>
    <x v="3"/>
    <n v="3410"/>
    <n v="0"/>
    <s v="19 16 21 Mar"/>
    <x v="4"/>
  </r>
  <r>
    <n v="19"/>
    <s v="16 21 Mar"/>
    <s v="CAJA RUTH GDL"/>
    <x v="3"/>
    <n v="0"/>
    <n v="61642.400000000001"/>
    <s v="19 16 21 Mar"/>
    <x v="4"/>
  </r>
  <r>
    <n v="19"/>
    <s v="16 21 Mar"/>
    <s v="IMSS"/>
    <x v="5"/>
    <n v="0"/>
    <n v="25000"/>
    <s v="19 16 21 Mar"/>
    <x v="4"/>
  </r>
  <r>
    <n v="19"/>
    <s v="16 21 Mar"/>
    <s v="BOLSA 30 LBS CHAVINDA"/>
    <x v="3"/>
    <n v="0"/>
    <n v="7250"/>
    <s v="19 16 21 Mar"/>
    <x v="4"/>
  </r>
  <r>
    <n v="19"/>
    <s v="16 21 Mar"/>
    <s v="COMPRA LAPTOP"/>
    <x v="4"/>
    <n v="7499"/>
    <n v="0"/>
    <s v="19 16 21 Mar"/>
    <x v="4"/>
  </r>
  <r>
    <n v="20"/>
    <s v="23 28 Mar"/>
    <s v="NOMINA FV"/>
    <x v="0"/>
    <n v="100000"/>
    <n v="0"/>
    <s v="20 23 28 Mar"/>
    <x v="4"/>
  </r>
  <r>
    <n v="20"/>
    <s v="23 28 Mar"/>
    <s v="NOMINA JACONA"/>
    <x v="0"/>
    <n v="10800"/>
    <n v="0"/>
    <s v="20 23 28 Mar"/>
    <x v="4"/>
  </r>
  <r>
    <n v="20"/>
    <s v="23 28 Mar"/>
    <s v="NOMINA CXM"/>
    <x v="0"/>
    <n v="16950"/>
    <n v="0"/>
    <s v="20 23 28 Mar"/>
    <x v="4"/>
  </r>
  <r>
    <n v="20"/>
    <s v="23 28 Mar"/>
    <s v="ALEX Y RAFA"/>
    <x v="0"/>
    <n v="10000"/>
    <n v="0"/>
    <s v="20 23 28 Mar"/>
    <x v="4"/>
  </r>
  <r>
    <n v="20"/>
    <s v="23 28 Mar"/>
    <s v="PAGO BOTELLA PLASTICO 1 LTO"/>
    <x v="4"/>
    <n v="2501.41"/>
    <n v="0"/>
    <s v="20 23 28 Mar"/>
    <x v="4"/>
  </r>
  <r>
    <n v="20"/>
    <s v="23 28 Mar"/>
    <s v="Honorarios contador"/>
    <x v="2"/>
    <n v="5365.5"/>
    <n v="0"/>
    <s v="20 23 28 Mar"/>
    <x v="4"/>
  </r>
  <r>
    <n v="20"/>
    <s v="23 28 Mar"/>
    <s v="CAJA RUTH GDL"/>
    <x v="3"/>
    <n v="0"/>
    <n v="61642.400000000001"/>
    <s v="20 23 28 Mar"/>
    <x v="4"/>
  </r>
  <r>
    <n v="20"/>
    <s v="23 28 Mar"/>
    <s v="IMSS"/>
    <x v="5"/>
    <n v="0"/>
    <n v="25000"/>
    <s v="20 23 28 Mar"/>
    <x v="4"/>
  </r>
  <r>
    <n v="20"/>
    <s v="23 28 Mar"/>
    <s v="BOLSA 30 LBS CHAVINDA"/>
    <x v="3"/>
    <n v="0"/>
    <n v="7250"/>
    <s v="20 23 28 Mar"/>
    <x v="4"/>
  </r>
  <r>
    <n v="20"/>
    <s v="23 28 Mar"/>
    <s v="ALEJANDRO RODRIGUEZ"/>
    <x v="4"/>
    <n v="0"/>
    <n v="20000"/>
    <s v="20 23 28 Mar"/>
    <x v="4"/>
  </r>
  <r>
    <n v="20"/>
    <s v="23 28 Mar"/>
    <s v="AVV  (MONARCA)"/>
    <x v="4"/>
    <n v="50000"/>
    <n v="0"/>
    <s v="20 23 28 Mar"/>
    <x v="4"/>
  </r>
  <r>
    <n v="20"/>
    <s v="23 28 Mar"/>
    <s v="ROCIO IMPI"/>
    <x v="4"/>
    <n v="7540"/>
    <n v="0"/>
    <s v="20 23 28 Mar"/>
    <x v="4"/>
  </r>
  <r>
    <n v="21"/>
    <s v="30 Mar 04 Abril"/>
    <s v="NOMINA FV"/>
    <x v="0"/>
    <n v="105000"/>
    <n v="0"/>
    <s v="21 30 Mar 04 Abril"/>
    <x v="4"/>
  </r>
  <r>
    <n v="21"/>
    <s v="30 Mar 04 Abril"/>
    <s v="NOMINA CXM"/>
    <x v="0"/>
    <n v="17950"/>
    <n v="0"/>
    <s v="21 30 Mar 04 Abril"/>
    <x v="4"/>
  </r>
  <r>
    <n v="21"/>
    <s v="30 Mar 04 Abril"/>
    <s v="ALEX Y RAFA"/>
    <x v="0"/>
    <n v="0"/>
    <n v="10000"/>
    <s v="21 30 Mar 04 Abril"/>
    <x v="4"/>
  </r>
  <r>
    <n v="21"/>
    <s v="30 Mar 04 Abril"/>
    <s v="Honorarios contador"/>
    <x v="2"/>
    <n v="5163.8999999999996"/>
    <n v="0"/>
    <s v="21 30 Mar 04 Abril"/>
    <x v="4"/>
  </r>
  <r>
    <n v="21"/>
    <s v="30 Mar 04 Abril"/>
    <s v="CAJA RUTH GDL"/>
    <x v="3"/>
    <n v="0"/>
    <n v="61642.400000000001"/>
    <s v="21 30 Mar 04 Abril"/>
    <x v="4"/>
  </r>
  <r>
    <n v="21"/>
    <s v="30 Mar 04 Abril"/>
    <s v="IMSS"/>
    <x v="5"/>
    <n v="0"/>
    <n v="25000"/>
    <s v="21 30 Mar 04 Abril"/>
    <x v="4"/>
  </r>
  <r>
    <n v="21"/>
    <s v="30 Mar 04 Abril"/>
    <s v="BOLSA 30 LBS CHAVINDA"/>
    <x v="3"/>
    <n v="0"/>
    <n v="7250"/>
    <s v="21 30 Mar 04 Abril"/>
    <x v="4"/>
  </r>
  <r>
    <n v="21"/>
    <s v="30 Mar 04 Abril"/>
    <s v="ALEJANDRO RODRIGUEZ"/>
    <x v="4"/>
    <n v="20000"/>
    <n v="0"/>
    <s v="21 30 Mar 04 Abril"/>
    <x v="4"/>
  </r>
  <r>
    <n v="21"/>
    <s v="30 Mar 04 Abril"/>
    <s v="AVV  (MONARCA)"/>
    <x v="4"/>
    <n v="0"/>
    <n v="50000"/>
    <s v="21 30 Mar 04 Abril"/>
    <x v="4"/>
  </r>
  <r>
    <n v="22"/>
    <s v="06 11 Abril"/>
    <s v="NOMINA FV"/>
    <x v="0"/>
    <n v="78000"/>
    <n v="0"/>
    <s v="22 06 11 Abril"/>
    <x v="5"/>
  </r>
  <r>
    <n v="22"/>
    <s v="06 11 Abril"/>
    <s v="NOMINA JACONA"/>
    <x v="0"/>
    <n v="12000"/>
    <n v="0"/>
    <s v="22 06 11 Abril"/>
    <x v="5"/>
  </r>
  <r>
    <n v="22"/>
    <s v="06 11 Abril"/>
    <s v="NOMINA CXM"/>
    <x v="0"/>
    <n v="21950"/>
    <n v="0"/>
    <s v="22 06 11 Abril"/>
    <x v="5"/>
  </r>
  <r>
    <n v="22"/>
    <s v="06 11 Abril"/>
    <s v="ALEX Y RAFA"/>
    <x v="0"/>
    <n v="0"/>
    <n v="10000"/>
    <s v="22 06 11 Abril"/>
    <x v="5"/>
  </r>
  <r>
    <n v="22"/>
    <s v="06 11 Abril"/>
    <s v="CIPSA"/>
    <x v="2"/>
    <n v="2784"/>
    <n v="0"/>
    <s v="22 06 11 Abril"/>
    <x v="5"/>
  </r>
  <r>
    <n v="22"/>
    <s v="06 11 Abril"/>
    <s v="CIRAM"/>
    <x v="0"/>
    <n v="3795.02"/>
    <n v="0"/>
    <s v="22 06 11 Abril"/>
    <x v="5"/>
  </r>
  <r>
    <n v="22"/>
    <s v="06 11 Abril"/>
    <s v="Honorarios contador"/>
    <x v="2"/>
    <n v="4701.8999999999996"/>
    <n v="0"/>
    <s v="22 06 11 Abril"/>
    <x v="5"/>
  </r>
  <r>
    <n v="22"/>
    <s v="06 11 Abril"/>
    <s v="CAJA RUTH GDL"/>
    <x v="3"/>
    <n v="0"/>
    <n v="61642.400000000001"/>
    <s v="22 06 11 Abril"/>
    <x v="5"/>
  </r>
  <r>
    <n v="22"/>
    <s v="06 11 Abril"/>
    <s v="IMSS"/>
    <x v="5"/>
    <n v="0"/>
    <n v="25000"/>
    <s v="22 06 11 Abril"/>
    <x v="5"/>
  </r>
  <r>
    <n v="22"/>
    <s v="06 11 Abril"/>
    <s v="BOLSA 30 LBS CHAVINDA"/>
    <x v="3"/>
    <n v="0"/>
    <n v="7250"/>
    <s v="22 06 11 Abril"/>
    <x v="5"/>
  </r>
  <r>
    <n v="22"/>
    <s v="06 11 Abril"/>
    <s v="CAJA CARTON (PATAGONIA) 20 y 30 lbs"/>
    <x v="3"/>
    <n v="9135"/>
    <n v="0"/>
    <s v="22 06 11 Abril"/>
    <x v="5"/>
  </r>
  <r>
    <n v="22"/>
    <s v="06 11 Abril"/>
    <s v="AVV  (MONARCA)"/>
    <x v="4"/>
    <n v="0"/>
    <n v="50000"/>
    <s v="22 06 11 Abril"/>
    <x v="5"/>
  </r>
  <r>
    <n v="23"/>
    <s v="13 18 Abril"/>
    <s v="NOMINA FV"/>
    <x v="0"/>
    <n v="105000"/>
    <n v="0"/>
    <s v="23 13 18 Abril"/>
    <x v="5"/>
  </r>
  <r>
    <n v="23"/>
    <s v="13 18 Abril"/>
    <s v="NOMINA CXM"/>
    <x v="0"/>
    <n v="20000"/>
    <n v="0"/>
    <s v="23 13 18 Abril"/>
    <x v="5"/>
  </r>
  <r>
    <n v="23"/>
    <s v="13 18 Abril"/>
    <s v="RAISA"/>
    <x v="0"/>
    <n v="0"/>
    <n v="70000"/>
    <s v="23 13 18 Abril"/>
    <x v="5"/>
  </r>
  <r>
    <n v="23"/>
    <s v="13 18 Abril"/>
    <s v="ALEX Y RAFA"/>
    <x v="0"/>
    <n v="10000"/>
    <n v="0"/>
    <s v="23 13 18 Abril"/>
    <x v="5"/>
  </r>
  <r>
    <n v="23"/>
    <s v="13 18 Abril"/>
    <s v="CIPSA"/>
    <x v="2"/>
    <n v="0"/>
    <n v="2784"/>
    <s v="23 13 18 Abril"/>
    <x v="5"/>
  </r>
  <r>
    <n v="23"/>
    <s v="13 18 Abril"/>
    <s v="LORE (Transporte Personal)"/>
    <x v="0"/>
    <n v="0"/>
    <n v="6970"/>
    <s v="23 13 18 Abril"/>
    <x v="5"/>
  </r>
  <r>
    <n v="23"/>
    <s v="13 18 Abril"/>
    <s v="CIRAM"/>
    <x v="0"/>
    <n v="0"/>
    <n v="3795.01"/>
    <s v="23 13 18 Abril"/>
    <x v="5"/>
  </r>
  <r>
    <n v="23"/>
    <s v="13 18 Abril"/>
    <s v="GLADYS (CERTIFICACION)"/>
    <x v="2"/>
    <n v="0"/>
    <n v="15000"/>
    <s v="23 13 18 Abril"/>
    <x v="5"/>
  </r>
  <r>
    <n v="23"/>
    <s v="13 18 Abril"/>
    <s v="DIKEN"/>
    <x v="4"/>
    <n v="0"/>
    <n v="1186.3599999999999"/>
    <s v="23 13 18 Abril"/>
    <x v="5"/>
  </r>
  <r>
    <n v="23"/>
    <s v="13 18 Abril"/>
    <s v="CIELO ALEJANDRA (TARIMAS) GONZALO"/>
    <x v="3"/>
    <n v="0"/>
    <n v="32480"/>
    <s v="23 13 18 Abril"/>
    <x v="5"/>
  </r>
  <r>
    <n v="23"/>
    <s v="13 18 Abril"/>
    <s v="Honorarios contador"/>
    <x v="2"/>
    <n v="5250"/>
    <n v="0"/>
    <s v="23 13 18 Abril"/>
    <x v="5"/>
  </r>
  <r>
    <n v="23"/>
    <s v="13 18 Abril"/>
    <s v="Edgar Joel Vega Martínez (Emplaye)"/>
    <x v="3"/>
    <n v="0"/>
    <n v="3970.21"/>
    <s v="23 13 18 Abril"/>
    <x v="5"/>
  </r>
  <r>
    <n v="23"/>
    <s v="13 18 Abril"/>
    <s v="JOSE HDEZ GARCIA (PAGO TARIMA)"/>
    <x v="3"/>
    <n v="0"/>
    <n v="15370"/>
    <s v="23 13 18 Abril"/>
    <x v="5"/>
  </r>
  <r>
    <n v="23"/>
    <s v="13 18 Abril"/>
    <s v="JOSE HDEZ GARCIA (PAGO TARIMA)"/>
    <x v="3"/>
    <n v="0"/>
    <n v="15370"/>
    <s v="23 13 18 Abril"/>
    <x v="5"/>
  </r>
  <r>
    <n v="23"/>
    <s v="13 18 Abril"/>
    <s v="CAJA RUTH GDLMK BOXES"/>
    <x v="3"/>
    <n v="30000"/>
    <n v="61642.400000000001"/>
    <s v="23 13 18 Abril"/>
    <x v="5"/>
  </r>
  <r>
    <n v="23"/>
    <s v="13 18 Abril"/>
    <s v="SANICHEM"/>
    <x v="2"/>
    <n v="0"/>
    <n v="4750.2"/>
    <s v="23 13 18 Abril"/>
    <x v="5"/>
  </r>
  <r>
    <n v="23"/>
    <s v="13 18 Abril"/>
    <s v="IMSS FV"/>
    <x v="5"/>
    <n v="9676.4500000000007"/>
    <n v="0"/>
    <s v="23 13 18 Abril"/>
    <x v="5"/>
  </r>
  <r>
    <n v="23"/>
    <s v="13 18 Abril"/>
    <s v="IMSS CXM"/>
    <x v="5"/>
    <n v="12652.68"/>
    <n v="0"/>
    <s v="23 13 18 Abril"/>
    <x v="5"/>
  </r>
  <r>
    <n v="23"/>
    <s v="13 18 Abril"/>
    <s v="BOLSA 30 LBS CHAVINDA"/>
    <x v="3"/>
    <n v="0"/>
    <n v="7250"/>
    <s v="23 13 18 Abril"/>
    <x v="5"/>
  </r>
  <r>
    <n v="23"/>
    <s v="13 18 Abril"/>
    <s v="CAJA CARTON (PATAGONIA) 20 y 30 lbs"/>
    <x v="3"/>
    <n v="18270"/>
    <n v="9135"/>
    <s v="23 13 18 Abril"/>
    <x v="5"/>
  </r>
  <r>
    <n v="23"/>
    <s v="13 18 Abril"/>
    <s v="CONVENIO IMSS CXM"/>
    <x v="5"/>
    <n v="0"/>
    <n v="32000"/>
    <s v="23 13 18 Abril"/>
    <x v="5"/>
  </r>
  <r>
    <n v="24"/>
    <s v="20 25 Abril"/>
    <s v="NOMINA FV"/>
    <x v="0"/>
    <n v="110000"/>
    <n v="0"/>
    <s v="24 20 25 Abril"/>
    <x v="5"/>
  </r>
  <r>
    <n v="24"/>
    <s v="20 25 Abril"/>
    <s v="NOMINA CXM"/>
    <x v="0"/>
    <n v="31050"/>
    <n v="0"/>
    <s v="24 20 25 Abril"/>
    <x v="5"/>
  </r>
  <r>
    <n v="24"/>
    <s v="20 25 Abril"/>
    <s v="RAISA"/>
    <x v="0"/>
    <n v="40426.65"/>
    <n v="0"/>
    <s v="24 20 25 Abril"/>
    <x v="5"/>
  </r>
  <r>
    <n v="24"/>
    <s v="20 25 Abril"/>
    <s v="EMBAPACK Bolsa Verde)"/>
    <x v="3"/>
    <n v="13310.12"/>
    <n v="0"/>
    <s v="24 20 25 Abril"/>
    <x v="5"/>
  </r>
  <r>
    <n v="24"/>
    <s v="20 25 Abril"/>
    <s v="ALEX Y RAFA"/>
    <x v="0"/>
    <n v="0"/>
    <n v="10000"/>
    <s v="24 20 25 Abril"/>
    <x v="5"/>
  </r>
  <r>
    <n v="24"/>
    <s v="20 25 Abril"/>
    <s v="CIPSA"/>
    <x v="2"/>
    <n v="0"/>
    <n v="2784"/>
    <s v="24 20 25 Abril"/>
    <x v="5"/>
  </r>
  <r>
    <n v="24"/>
    <s v="20 25 Abril"/>
    <s v="CIRAM"/>
    <x v="0"/>
    <n v="0"/>
    <n v="3795.01"/>
    <s v="24 20 25 Abril"/>
    <x v="5"/>
  </r>
  <r>
    <n v="24"/>
    <s v="20 25 Abril"/>
    <s v="GLADYS (CERTIFICACION)"/>
    <x v="2"/>
    <n v="0"/>
    <n v="15000"/>
    <s v="24 20 25 Abril"/>
    <x v="5"/>
  </r>
  <r>
    <n v="24"/>
    <s v="20 25 Abril"/>
    <s v="DIKEN"/>
    <x v="4"/>
    <n v="1441.56"/>
    <n v="0"/>
    <s v="24 20 25 Abril"/>
    <x v="5"/>
  </r>
  <r>
    <n v="24"/>
    <s v="20 25 Abril"/>
    <s v="Honorarios contador"/>
    <x v="2"/>
    <n v="13727.7"/>
    <n v="0"/>
    <s v="24 20 25 Abril"/>
    <x v="5"/>
  </r>
  <r>
    <n v="24"/>
    <s v="20 25 Abril"/>
    <s v="Edgar Joel Vega Martínez (Emplaye)"/>
    <x v="3"/>
    <n v="0"/>
    <n v="3970.21"/>
    <s v="24 20 25 Abril"/>
    <x v="5"/>
  </r>
  <r>
    <n v="24"/>
    <s v="20 25 Abril"/>
    <s v="JOSE HDEZ GARCIA (PAGO TARIMA)"/>
    <x v="3"/>
    <n v="0"/>
    <n v="15370"/>
    <s v="24 20 25 Abril"/>
    <x v="5"/>
  </r>
  <r>
    <n v="24"/>
    <s v="20 25 Abril"/>
    <s v="CAJA RUTH GDLMK BOXES"/>
    <x v="3"/>
    <n v="31642.400000000001"/>
    <n v="0"/>
    <s v="24 20 25 Abril"/>
    <x v="5"/>
  </r>
  <r>
    <n v="24"/>
    <s v="20 25 Abril"/>
    <s v="SANICHEM"/>
    <x v="2"/>
    <n v="0"/>
    <n v="4750.2"/>
    <s v="24 20 25 Abril"/>
    <x v="5"/>
  </r>
  <r>
    <n v="24"/>
    <s v="20 25 Abril"/>
    <s v="IMSS CXM"/>
    <x v="5"/>
    <n v="20000"/>
    <n v="0"/>
    <s v="24 20 25 Abril"/>
    <x v="5"/>
  </r>
  <r>
    <n v="24"/>
    <s v="20 25 Abril"/>
    <s v="BOLSA 30 LBS CHAVINDA"/>
    <x v="3"/>
    <n v="18000"/>
    <n v="0"/>
    <s v="24 20 25 Abril"/>
    <x v="5"/>
  </r>
  <r>
    <n v="24"/>
    <s v="20 25 Abril"/>
    <s v="CAJA CARTON (PATAGONIA) 20 y 30 lbs"/>
    <x v="3"/>
    <n v="28739"/>
    <n v="0"/>
    <s v="24 20 25 Abril"/>
    <x v="5"/>
  </r>
  <r>
    <n v="24"/>
    <s v="20 25 Abril"/>
    <s v="CAJA CARTON (PATAGONIA) 20 y 30 lbs"/>
    <x v="3"/>
    <n v="9802"/>
    <n v="0"/>
    <s v="24 20 25 Abril"/>
    <x v="5"/>
  </r>
  <r>
    <n v="24"/>
    <s v="20 25 Abril"/>
    <s v="PRIMUS LAB"/>
    <x v="2"/>
    <n v="2277.13"/>
    <n v="0"/>
    <s v="24 20 25 Abril"/>
    <x v="5"/>
  </r>
  <r>
    <n v="24"/>
    <s v="20 25 Abril"/>
    <s v="SAM JARABES TAPATIOS"/>
    <x v="4"/>
    <n v="3888"/>
    <n v="0"/>
    <s v="24 20 25 Abril"/>
    <x v="5"/>
  </r>
  <r>
    <n v="24"/>
    <s v="20 25 Abril"/>
    <s v="OMAR GUERRERO"/>
    <x v="0"/>
    <n v="85800"/>
    <n v="0"/>
    <s v="24 20 25 Abril"/>
    <x v="5"/>
  </r>
  <r>
    <n v="24"/>
    <s v="20 25 Abril"/>
    <s v="OMAR GUERRERO"/>
    <x v="0"/>
    <n v="100000"/>
    <n v="0"/>
    <s v="24 20 25 Abril"/>
    <x v="5"/>
  </r>
  <r>
    <n v="24"/>
    <s v="20 25 Abril"/>
    <s v="MATERIAL RAISA"/>
    <x v="0"/>
    <n v="12424.75"/>
    <n v="0"/>
    <s v="24 20 25 Abril"/>
    <x v="5"/>
  </r>
  <r>
    <n v="24"/>
    <s v="20 25 Abril"/>
    <s v="PONCHO MADRIGAL (Fresa)"/>
    <x v="1"/>
    <n v="18768"/>
    <n v="0"/>
    <s v="24 20 25 Abril"/>
    <x v="5"/>
  </r>
  <r>
    <n v="25"/>
    <s v="27 Abril 02 Mayo"/>
    <s v="NOMINA FV"/>
    <x v="0"/>
    <n v="110000"/>
    <n v="0"/>
    <s v="25 27 Abril 02 Mayo"/>
    <x v="5"/>
  </r>
  <r>
    <n v="25"/>
    <s v="27 Abril 02 Mayo"/>
    <s v="NOMINA JACONA SABADO"/>
    <x v="0"/>
    <n v="10000"/>
    <n v="0"/>
    <s v="25 27 Abril 02 Mayo"/>
    <x v="5"/>
  </r>
  <r>
    <n v="25"/>
    <s v="27 Abril 02 Mayo"/>
    <s v="NOMINA JACONA MIERCOLES"/>
    <x v="0"/>
    <n v="15645"/>
    <n v="0"/>
    <s v="25 27 Abril 02 Mayo"/>
    <x v="5"/>
  </r>
  <r>
    <n v="25"/>
    <s v="27 Abril 02 Mayo"/>
    <s v="NOMINA CXM"/>
    <x v="0"/>
    <n v="19750"/>
    <n v="0"/>
    <s v="25 27 Abril 02 Mayo"/>
    <x v="5"/>
  </r>
  <r>
    <n v="25"/>
    <s v="27 Abril 02 Mayo"/>
    <s v="Honorarios contador"/>
    <x v="2"/>
    <n v="6526.59"/>
    <n v="0"/>
    <s v="25 27 Abril 02 Mayo"/>
    <x v="5"/>
  </r>
  <r>
    <n v="25"/>
    <s v="27 Abril 02 Mayo"/>
    <s v="EMBAPACK Bolsa Verde"/>
    <x v="3"/>
    <n v="10788"/>
    <n v="0"/>
    <s v="25 27 Abril 02 Mayo"/>
    <x v="5"/>
  </r>
  <r>
    <n v="25"/>
    <s v="27 Abril 02 Mayo"/>
    <s v="EMBAPACK Bolsa AZUL"/>
    <x v="3"/>
    <n v="7222"/>
    <n v="0"/>
    <s v="25 27 Abril 02 Mayo"/>
    <x v="5"/>
  </r>
  <r>
    <n v="25"/>
    <s v="27 Abril 02 Mayo"/>
    <s v="ALEX Y RAFA"/>
    <x v="0"/>
    <n v="10000"/>
    <n v="0"/>
    <s v="25 27 Abril 02 Mayo"/>
    <x v="5"/>
  </r>
  <r>
    <n v="25"/>
    <s v="27 Abril 02 Mayo"/>
    <s v="CIPSA"/>
    <x v="2"/>
    <n v="2784"/>
    <n v="0"/>
    <s v="25 27 Abril 02 Mayo"/>
    <x v="5"/>
  </r>
  <r>
    <n v="25"/>
    <s v="27 Abril 02 Mayo"/>
    <s v="DEPACHO GARNICA"/>
    <x v="2"/>
    <n v="8952.2999999999993"/>
    <n v="0"/>
    <s v="25 27 Abril 02 Mayo"/>
    <x v="5"/>
  </r>
  <r>
    <n v="25"/>
    <s v="27 Abril 02 Mayo"/>
    <s v="CIRAM"/>
    <x v="0"/>
    <n v="3795.01"/>
    <n v="0"/>
    <s v="25 27 Abril 02 Mayo"/>
    <x v="5"/>
  </r>
  <r>
    <n v="25"/>
    <s v="27 Abril 02 Mayo"/>
    <s v="GLADYS (CERTIFICACION)"/>
    <x v="2"/>
    <n v="14500"/>
    <n v="0"/>
    <s v="25 27 Abril 02 Mayo"/>
    <x v="5"/>
  </r>
  <r>
    <n v="25"/>
    <s v="27 Abril 02 Mayo"/>
    <s v="CIELO ALEJANDRA (TARIMAS) GONZALO"/>
    <x v="3"/>
    <n v="0"/>
    <n v="32480"/>
    <s v="25 27 Abril 02 Mayo"/>
    <x v="5"/>
  </r>
  <r>
    <n v="25"/>
    <s v="27 Abril 02 Mayo"/>
    <s v="Edgar Joel Vega Martínez (Emplaye)"/>
    <x v="3"/>
    <n v="3970.21"/>
    <n v="0"/>
    <s v="25 27 Abril 02 Mayo"/>
    <x v="5"/>
  </r>
  <r>
    <n v="25"/>
    <s v="27 Abril 02 Mayo"/>
    <s v="JOSE HDEZ GARCIA (PAGO TARIMA)"/>
    <x v="3"/>
    <n v="15370"/>
    <n v="0"/>
    <s v="25 27 Abril 02 Mayo"/>
    <x v="5"/>
  </r>
  <r>
    <n v="25"/>
    <s v="27 Abril 02 Mayo"/>
    <s v="JOSE HDEZ GARCIA (PAGO TARIMA)"/>
    <x v="3"/>
    <n v="0"/>
    <n v="15370"/>
    <s v="25 27 Abril 02 Mayo"/>
    <x v="5"/>
  </r>
  <r>
    <n v="25"/>
    <s v="27 Abril 02 Mayo"/>
    <s v="SANICHEM"/>
    <x v="2"/>
    <n v="0"/>
    <n v="4750.2"/>
    <s v="25 27 Abril 02 Mayo"/>
    <x v="5"/>
  </r>
  <r>
    <n v="25"/>
    <s v="27 Abril 02 Mayo"/>
    <s v="CAJA CARTON (PATAGONIA) 20 y 30 lbs"/>
    <x v="3"/>
    <n v="9135"/>
    <n v="0"/>
    <s v="25 27 Abril 02 Mayo"/>
    <x v="5"/>
  </r>
  <r>
    <n v="25"/>
    <s v="27 Abril 02 Mayo"/>
    <s v="CAJA CARTON (PATAGONIA) 20 y 30 lbs"/>
    <x v="3"/>
    <n v="11629"/>
    <n v="0"/>
    <s v="25 27 Abril 02 Mayo"/>
    <x v="5"/>
  </r>
  <r>
    <n v="25"/>
    <s v="27 Abril 02 Mayo"/>
    <s v="CAJA CARTON (PATAGONIA) 20 y 30 lbs"/>
    <x v="3"/>
    <n v="9135"/>
    <n v="0"/>
    <s v="25 27 Abril 02 Mayo"/>
    <x v="5"/>
  </r>
  <r>
    <n v="25"/>
    <s v="27 Abril 02 Mayo"/>
    <s v="Varios (Llaves reparacion FV)"/>
    <x v="4"/>
    <n v="520"/>
    <n v="0"/>
    <s v="25 27 Abril 02 Mayo"/>
    <x v="5"/>
  </r>
  <r>
    <n v="25"/>
    <s v="27 Abril 02 Mayo"/>
    <s v="Aceros Gutz"/>
    <x v="3"/>
    <n v="1076"/>
    <n v="0"/>
    <s v="25 27 Abril 02 Mayo"/>
    <x v="5"/>
  </r>
  <r>
    <n v="25"/>
    <s v="27 Abril 02 Mayo"/>
    <s v="FLEJE MONTERREY"/>
    <x v="3"/>
    <n v="600"/>
    <n v="0"/>
    <s v="25 27 Abril 02 Mayo"/>
    <x v="5"/>
  </r>
  <r>
    <n v="25"/>
    <s v="27 Abril 02 Mayo"/>
    <s v="IMSS (DEPOSITO A CUENTA AVV)"/>
    <x v="5"/>
    <n v="10000"/>
    <n v="0"/>
    <s v="25 27 Abril 02 Mayo"/>
    <x v="5"/>
  </r>
  <r>
    <n v="25"/>
    <s v="27 Abril 02 Mayo"/>
    <s v="Pintura FV ( cubeta Esmalte)"/>
    <x v="4"/>
    <n v="3310"/>
    <n v="0"/>
    <s v="25 27 Abril 02 Mayo"/>
    <x v="5"/>
  </r>
  <r>
    <n v="25"/>
    <s v="27 Abril 02 Mayo"/>
    <s v="MATERIAL RAISA"/>
    <x v="0"/>
    <n v="12220"/>
    <n v="0"/>
    <s v="25 27 Abril 02 Mayo"/>
    <x v="5"/>
  </r>
  <r>
    <n v="25"/>
    <s v="27 Abril 02 Mayo"/>
    <s v="TRES GUERRAS"/>
    <x v="2"/>
    <n v="2516.21"/>
    <n v="0"/>
    <s v="25 27 Abril 02 Mayo"/>
    <x v="5"/>
  </r>
  <r>
    <n v="25"/>
    <s v="27 Abril 02 Mayo"/>
    <s v="PAGO ACTA CONST FV PLUS"/>
    <x v="5"/>
    <n v="11600"/>
    <n v="0"/>
    <s v="25 27 Abril 02 Mayo"/>
    <x v="5"/>
  </r>
  <r>
    <n v="25"/>
    <s v="27 Abril 02 Mayo"/>
    <s v="IMPRENTA BERNARDO"/>
    <x v="2"/>
    <n v="2900"/>
    <n v="0"/>
    <s v="25 27 Abril 02 Mayo"/>
    <x v="5"/>
  </r>
  <r>
    <n v="26"/>
    <s v="04 09 Mayo"/>
    <s v="NOMINA FV"/>
    <x v="0"/>
    <n v="110000"/>
    <n v="0"/>
    <s v="26 04 09 Mayo"/>
    <x v="6"/>
  </r>
  <r>
    <n v="26"/>
    <s v="04 09 Mayo"/>
    <s v="NOMINA CXM"/>
    <x v="0"/>
    <n v="21850"/>
    <n v="0"/>
    <s v="26 04 09 Mayo"/>
    <x v="6"/>
  </r>
  <r>
    <n v="26"/>
    <s v="04 09 Mayo"/>
    <s v="Honorarios contador"/>
    <x v="2"/>
    <n v="5537.7"/>
    <n v="0"/>
    <s v="26 04 09 Mayo"/>
    <x v="6"/>
  </r>
  <r>
    <n v="26"/>
    <s v="04 09 Mayo"/>
    <s v="ALEX Y RAFA"/>
    <x v="0"/>
    <n v="0"/>
    <n v="10000"/>
    <s v="26 04 09 Mayo"/>
    <x v="6"/>
  </r>
  <r>
    <n v="26"/>
    <s v="04 09 Mayo"/>
    <s v="CIELO ALEJANDRA (TARIMAS) GONZALO"/>
    <x v="3"/>
    <n v="0"/>
    <n v="32480"/>
    <s v="26 04 09 Mayo"/>
    <x v="6"/>
  </r>
  <r>
    <n v="26"/>
    <s v="04 09 Mayo"/>
    <s v="DEPACHO GARNICA"/>
    <x v="2"/>
    <n v="0"/>
    <n v="8952.2999999999993"/>
    <s v="26 04 09 Mayo"/>
    <x v="6"/>
  </r>
  <r>
    <n v="26"/>
    <s v="04 09 Mayo"/>
    <s v="Edgar Joel Vega Martínez (Emplaye)"/>
    <x v="3"/>
    <n v="4235.9399999999996"/>
    <n v="0"/>
    <s v="26 04 09 Mayo"/>
    <x v="6"/>
  </r>
  <r>
    <n v="26"/>
    <s v="04 09 Mayo"/>
    <s v="IMSS CXM"/>
    <x v="5"/>
    <n v="0"/>
    <n v="26453.74"/>
    <s v="26 04 09 Mayo"/>
    <x v="6"/>
  </r>
  <r>
    <n v="26"/>
    <s v="04 09 Mayo"/>
    <s v="IMSS CXM"/>
    <x v="5"/>
    <n v="0"/>
    <n v="14592.86"/>
    <s v="26 04 09 Mayo"/>
    <x v="6"/>
  </r>
  <r>
    <n v="26"/>
    <s v="04 09 Mayo"/>
    <s v="JOSE HDEZ GARCIA (PAGO TARIMA)"/>
    <x v="3"/>
    <n v="15370"/>
    <n v="0"/>
    <s v="26 04 09 Mayo"/>
    <x v="6"/>
  </r>
  <r>
    <n v="26"/>
    <s v="04 09 Mayo"/>
    <s v="MK BOXES RUTH GDL"/>
    <x v="4"/>
    <n v="0"/>
    <n v="20000"/>
    <s v="26 04 09 Mayo"/>
    <x v="6"/>
  </r>
  <r>
    <n v="26"/>
    <s v="04 09 Mayo"/>
    <s v="PATAGONIA CAJA CARTON y 30 lbs"/>
    <x v="3"/>
    <n v="18270"/>
    <n v="0"/>
    <s v="26 04 09 Mayo"/>
    <x v="6"/>
  </r>
  <r>
    <n v="26"/>
    <s v="04 09 Mayo"/>
    <s v="SANICHEM"/>
    <x v="2"/>
    <n v="4750.2"/>
    <n v="0"/>
    <s v="26 04 09 Mayo"/>
    <x v="6"/>
  </r>
  <r>
    <n v="27"/>
    <s v="11 16 Mayo"/>
    <s v="NOMINA FV"/>
    <x v="0"/>
    <n v="110000"/>
    <n v="0"/>
    <s v="27 11 16 Mayo"/>
    <x v="6"/>
  </r>
  <r>
    <n v="27"/>
    <s v="11 16 Mayo"/>
    <s v="NOMINA JACONA SABADO"/>
    <x v="0"/>
    <n v="9000"/>
    <n v="0"/>
    <s v="27 11 16 Mayo"/>
    <x v="6"/>
  </r>
  <r>
    <n v="27"/>
    <s v="11 16 Mayo"/>
    <s v="NOMINA CXM"/>
    <x v="0"/>
    <n v="24450"/>
    <n v="0"/>
    <s v="27 11 16 Mayo"/>
    <x v="6"/>
  </r>
  <r>
    <n v="27"/>
    <s v="11 16 Mayo"/>
    <s v="Honorarios contador"/>
    <x v="2"/>
    <n v="13795.487999999999"/>
    <n v="0"/>
    <s v="27 11 16 Mayo"/>
    <x v="6"/>
  </r>
  <r>
    <n v="27"/>
    <s v="11 16 Mayo"/>
    <s v="RAISA"/>
    <x v="0"/>
    <n v="7000"/>
    <n v="0"/>
    <s v="27 11 16 Mayo"/>
    <x v="6"/>
  </r>
  <r>
    <n v="27"/>
    <s v="11 16 Mayo"/>
    <s v="RAISA"/>
    <x v="0"/>
    <n v="61302.86"/>
    <n v="0"/>
    <s v="27 11 16 Mayo"/>
    <x v="6"/>
  </r>
  <r>
    <n v="27"/>
    <s v="11 16 Mayo"/>
    <s v="ALEX Y RAFA"/>
    <x v="0"/>
    <n v="10000"/>
    <n v="10000"/>
    <s v="27 11 16 Mayo"/>
    <x v="6"/>
  </r>
  <r>
    <n v="27"/>
    <s v="11 16 Mayo"/>
    <s v="CIELO ALEJANDRA (TARIMAS) GONZALO"/>
    <x v="3"/>
    <n v="0"/>
    <n v="32480"/>
    <s v="27 11 16 Mayo"/>
    <x v="6"/>
  </r>
  <r>
    <n v="27"/>
    <s v="11 16 Mayo"/>
    <s v="CIPSA"/>
    <x v="2"/>
    <n v="0"/>
    <n v="3886"/>
    <s v="27 11 16 Mayo"/>
    <x v="6"/>
  </r>
  <r>
    <n v="27"/>
    <s v="11 16 Mayo"/>
    <s v="CIRAM"/>
    <x v="0"/>
    <n v="0"/>
    <n v="6050"/>
    <s v="27 11 16 Mayo"/>
    <x v="6"/>
  </r>
  <r>
    <n v="27"/>
    <s v="11 16 Mayo"/>
    <s v="CODICE ETIQUETAS"/>
    <x v="3"/>
    <n v="0"/>
    <n v="3596.65"/>
    <s v="27 11 16 Mayo"/>
    <x v="6"/>
  </r>
  <r>
    <n v="27"/>
    <s v="11 16 Mayo"/>
    <s v="DEPACHO GARNICA"/>
    <x v="2"/>
    <n v="8952.2999999999993"/>
    <n v="0"/>
    <s v="27 11 16 Mayo"/>
    <x v="6"/>
  </r>
  <r>
    <n v="27"/>
    <s v="11 16 Mayo"/>
    <s v="DIKEN"/>
    <x v="4"/>
    <n v="0"/>
    <n v="2033"/>
    <s v="27 11 16 Mayo"/>
    <x v="6"/>
  </r>
  <r>
    <n v="27"/>
    <s v="11 16 Mayo"/>
    <s v="Edgar Joel Vega Martínez (Emplaye)"/>
    <x v="3"/>
    <n v="0"/>
    <n v="8129.69"/>
    <s v="27 11 16 Mayo"/>
    <x v="6"/>
  </r>
  <r>
    <n v="27"/>
    <s v="11 16 Mayo"/>
    <s v="EMBAPACK Bolsa AZUL"/>
    <x v="3"/>
    <n v="6666.98"/>
    <n v="0"/>
    <s v="27 11 16 Mayo"/>
    <x v="6"/>
  </r>
  <r>
    <n v="27"/>
    <s v="11 16 Mayo"/>
    <s v="EDUARDO AGUIRRE"/>
    <x v="0"/>
    <n v="7508.23"/>
    <n v="0"/>
    <s v="27 11 16 Mayo"/>
    <x v="6"/>
  </r>
  <r>
    <n v="27"/>
    <s v="11 16 Mayo"/>
    <s v="GALU"/>
    <x v="6"/>
    <n v="0"/>
    <n v="47000"/>
    <s v="27 11 16 Mayo"/>
    <x v="6"/>
  </r>
  <r>
    <n v="27"/>
    <s v="11 16 Mayo"/>
    <s v="IMSS CXM"/>
    <x v="5"/>
    <n v="0"/>
    <n v="26453.74"/>
    <s v="27 11 16 Mayo"/>
    <x v="6"/>
  </r>
  <r>
    <n v="27"/>
    <s v="11 16 Mayo"/>
    <s v="IMSS CXM"/>
    <x v="5"/>
    <n v="0"/>
    <n v="14592.86"/>
    <s v="27 11 16 Mayo"/>
    <x v="6"/>
  </r>
  <r>
    <n v="27"/>
    <s v="11 16 Mayo"/>
    <s v="IMSS FV"/>
    <x v="5"/>
    <n v="14685.06"/>
    <n v="0"/>
    <s v="27 11 16 Mayo"/>
    <x v="6"/>
  </r>
  <r>
    <n v="27"/>
    <s v="11 16 Mayo"/>
    <s v="JOSE HDEZ GARCIA (PAGO TARIMA)"/>
    <x v="3"/>
    <n v="0"/>
    <n v="30740"/>
    <s v="27 11 16 Mayo"/>
    <x v="6"/>
  </r>
  <r>
    <n v="27"/>
    <s v="11 16 Mayo"/>
    <s v="MK BOXES RUTH GDL"/>
    <x v="4"/>
    <n v="0"/>
    <n v="77738.850000000006"/>
    <s v="27 11 16 Mayo"/>
    <x v="6"/>
  </r>
  <r>
    <n v="27"/>
    <s v="11 16 Mayo"/>
    <s v="PATAGONIA CAJA CARTON y 30 lbs"/>
    <x v="3"/>
    <n v="56045.4"/>
    <n v="0"/>
    <s v="27 11 16 Mayo"/>
    <x v="6"/>
  </r>
  <r>
    <n v="27"/>
    <s v="11 16 Mayo"/>
    <s v="PATAGONIA CAJA CARTON y 30 lbs"/>
    <x v="3"/>
    <n v="9802"/>
    <n v="0"/>
    <s v="27 11 16 Mayo"/>
    <x v="6"/>
  </r>
  <r>
    <n v="27"/>
    <s v="11 16 Mayo"/>
    <s v="SANICHEM"/>
    <x v="2"/>
    <n v="1292"/>
    <n v="0"/>
    <s v="27 11 16 Mayo"/>
    <x v="6"/>
  </r>
  <r>
    <n v="27"/>
    <s v="11 16 Mayo"/>
    <s v="SINDULFO"/>
    <x v="0"/>
    <n v="0"/>
    <n v="49247.8"/>
    <s v="27 11 16 Mayo"/>
    <x v="6"/>
  </r>
  <r>
    <n v="27"/>
    <s v="11 16 Mayo"/>
    <s v="BATAS, DIESEL, HOMEDEPOT"/>
    <x v="4"/>
    <n v="4674"/>
    <n v="0"/>
    <s v="27 11 16 Mayo"/>
    <x v="6"/>
  </r>
  <r>
    <n v="27"/>
    <s v="11 16 Mayo"/>
    <s v="IMPUESTOS LAR FEBRERO"/>
    <x v="5"/>
    <n v="10801"/>
    <n v="0"/>
    <s v="27 11 16 Mayo"/>
    <x v="6"/>
  </r>
  <r>
    <n v="28"/>
    <s v="18 23 Mayo"/>
    <s v="NOMINA FV"/>
    <x v="0"/>
    <n v="110000"/>
    <n v="0"/>
    <s v="28 18 23 Mayo"/>
    <x v="6"/>
  </r>
  <r>
    <n v="28"/>
    <s v="18 23 Mayo"/>
    <s v="NOMINA JACONA Y OCUMICHO SABADO"/>
    <x v="0"/>
    <n v="10000"/>
    <n v="0"/>
    <s v="28 18 23 Mayo"/>
    <x v="6"/>
  </r>
  <r>
    <n v="28"/>
    <s v="18 23 Mayo"/>
    <s v="NOMINA JACONA Y OCUMICHO MIERCOLES"/>
    <x v="0"/>
    <n v="0"/>
    <n v="20000"/>
    <s v="28 18 23 Mayo"/>
    <x v="6"/>
  </r>
  <r>
    <n v="28"/>
    <s v="18 23 Mayo"/>
    <s v="NOMINA CXM"/>
    <x v="0"/>
    <n v="27000"/>
    <n v="0"/>
    <s v="28 18 23 Mayo"/>
    <x v="6"/>
  </r>
  <r>
    <n v="28"/>
    <s v="18 23 Mayo"/>
    <s v="Honorarios contador"/>
    <x v="2"/>
    <n v="8670.8160000000007"/>
    <n v="0"/>
    <s v="28 18 23 Mayo"/>
    <x v="6"/>
  </r>
  <r>
    <n v="28"/>
    <s v="18 23 Mayo"/>
    <s v="ALEX Y RAFA"/>
    <x v="0"/>
    <n v="0"/>
    <n v="10000"/>
    <s v="28 18 23 Mayo"/>
    <x v="6"/>
  </r>
  <r>
    <n v="28"/>
    <s v="18 23 Mayo"/>
    <s v="CIELO ALEJANDRA (TARIMAS) GONZALO"/>
    <x v="3"/>
    <n v="0"/>
    <n v="32480"/>
    <s v="28 18 23 Mayo"/>
    <x v="6"/>
  </r>
  <r>
    <n v="28"/>
    <s v="18 23 Mayo"/>
    <s v="CIPSA"/>
    <x v="2"/>
    <n v="0"/>
    <n v="3886"/>
    <s v="28 18 23 Mayo"/>
    <x v="6"/>
  </r>
  <r>
    <n v="28"/>
    <s v="18 23 Mayo"/>
    <s v="CHRISTIAN MANUEL (TAMINAS)"/>
    <x v="4"/>
    <n v="1044"/>
    <n v="0"/>
    <s v="28 18 23 Mayo"/>
    <x v="6"/>
  </r>
  <r>
    <n v="28"/>
    <s v="18 23 Mayo"/>
    <s v="CODICE ETIQUETAS"/>
    <x v="3"/>
    <n v="0"/>
    <n v="3596.65"/>
    <s v="28 18 23 Mayo"/>
    <x v="6"/>
  </r>
  <r>
    <n v="28"/>
    <s v="18 23 Mayo"/>
    <s v="DEPACHO GARNICA (Pago Febrero 2026)"/>
    <x v="2"/>
    <n v="0"/>
    <n v="8952.2999999999993"/>
    <s v="28 18 23 Mayo"/>
    <x v="6"/>
  </r>
  <r>
    <n v="28"/>
    <s v="18 23 Mayo"/>
    <s v="DIKEN"/>
    <x v="4"/>
    <n v="0"/>
    <n v="2033"/>
    <s v="28 18 23 Mayo"/>
    <x v="6"/>
  </r>
  <r>
    <n v="28"/>
    <s v="18 23 Mayo"/>
    <s v="Edgar Joel Vega Martínez (Emplaye)"/>
    <x v="3"/>
    <n v="0"/>
    <n v="8129.69"/>
    <s v="28 18 23 Mayo"/>
    <x v="6"/>
  </r>
  <r>
    <n v="28"/>
    <s v="18 23 Mayo"/>
    <s v="EMBAPACK Bolsa TRNASPARENTE"/>
    <x v="3"/>
    <n v="7134"/>
    <n v="0"/>
    <s v="28 18 23 Mayo"/>
    <x v="6"/>
  </r>
  <r>
    <n v="28"/>
    <s v="18 23 Mayo"/>
    <s v="EMBAPACK Bolsa AZUL)"/>
    <x v="3"/>
    <n v="3596"/>
    <n v="0"/>
    <s v="28 18 23 Mayo"/>
    <x v="6"/>
  </r>
  <r>
    <n v="28"/>
    <s v="18 23 Mayo"/>
    <s v="GALU"/>
    <x v="6"/>
    <n v="0"/>
    <n v="47000"/>
    <s v="28 18 23 Mayo"/>
    <x v="6"/>
  </r>
  <r>
    <n v="28"/>
    <s v="18 23 Mayo"/>
    <s v="IMSS CXM"/>
    <x v="5"/>
    <n v="0"/>
    <n v="52907.48"/>
    <s v="28 18 23 Mayo"/>
    <x v="6"/>
  </r>
  <r>
    <n v="28"/>
    <s v="18 23 Mayo"/>
    <s v="IMSS CXM"/>
    <x v="5"/>
    <n v="0"/>
    <n v="14592.86"/>
    <s v="28 18 23 Mayo"/>
    <x v="6"/>
  </r>
  <r>
    <n v="28"/>
    <s v="18 23 Mayo"/>
    <s v="JOSE HDEZ GARCIA (PAGO TARIMA)"/>
    <x v="3"/>
    <n v="0"/>
    <n v="30740"/>
    <s v="28 18 23 Mayo"/>
    <x v="6"/>
  </r>
  <r>
    <n v="28"/>
    <s v="18 23 Mayo"/>
    <s v="LAR seguro aveo"/>
    <x v="6"/>
    <n v="2729"/>
    <n v="0"/>
    <s v="28 18 23 Mayo"/>
    <x v="6"/>
  </r>
  <r>
    <n v="28"/>
    <s v="18 23 Mayo"/>
    <s v="MK BOXES RUTH GDL"/>
    <x v="4"/>
    <n v="0"/>
    <n v="77738.850000000006"/>
    <s v="28 18 23 Mayo"/>
    <x v="6"/>
  </r>
  <r>
    <n v="28"/>
    <s v="18 23 Mayo"/>
    <s v="PATAGONIA CAJA CARTON y 30 lbs"/>
    <x v="3"/>
    <n v="14697.2"/>
    <n v="0"/>
    <s v="28 18 23 Mayo"/>
    <x v="6"/>
  </r>
  <r>
    <n v="28"/>
    <s v="18 23 Mayo"/>
    <s v="PRIMUS LAB"/>
    <x v="2"/>
    <n v="0"/>
    <n v="6086.26"/>
    <s v="28 18 23 Mayo"/>
    <x v="6"/>
  </r>
  <r>
    <n v="28"/>
    <s v="18 23 Mayo"/>
    <s v="STEREN NEBULIZADORES"/>
    <x v="4"/>
    <n v="1551"/>
    <n v="0"/>
    <s v="28 18 23 Mayo"/>
    <x v="6"/>
  </r>
  <r>
    <n v="28"/>
    <s v="18 23 Mayo"/>
    <s v="IMPUESTOS LAR"/>
    <x v="5"/>
    <n v="0"/>
    <n v="13428"/>
    <s v="28 18 23 Mayo"/>
    <x v="6"/>
  </r>
  <r>
    <n v="29"/>
    <s v="25 30 Mayo"/>
    <s v="NOMINA FV"/>
    <x v="0"/>
    <n v="110000"/>
    <n v="0"/>
    <s v="29 25 30 Mayo"/>
    <x v="6"/>
  </r>
  <r>
    <n v="29"/>
    <s v="25 30 Mayo"/>
    <s v="NOMINA CXM"/>
    <x v="0"/>
    <n v="25000"/>
    <n v="0"/>
    <s v="29 25 30 Mayo"/>
    <x v="6"/>
  </r>
  <r>
    <n v="29"/>
    <s v="25 30 Mayo"/>
    <s v="Honorarios contador"/>
    <x v="2"/>
    <n v="13091.4"/>
    <n v="0"/>
    <s v="29 25 30 Mayo"/>
    <x v="6"/>
  </r>
  <r>
    <n v="29"/>
    <s v="25 30 Mayo"/>
    <s v="RAISA"/>
    <x v="0"/>
    <n v="0"/>
    <n v="40000"/>
    <s v="29 25 30 Mayo"/>
    <x v="6"/>
  </r>
  <r>
    <n v="29"/>
    <s v="25 30 Mayo"/>
    <s v="ALEX Y RAFA"/>
    <x v="0"/>
    <n v="10000"/>
    <n v="0"/>
    <s v="29 25 30 Mayo"/>
    <x v="6"/>
  </r>
  <r>
    <n v="29"/>
    <s v="25 30 Mayo"/>
    <s v="CIELO ALEJANDRA (TARIMAS) GONZALO"/>
    <x v="3"/>
    <n v="0"/>
    <n v="32480"/>
    <s v="29 25 30 Mayo"/>
    <x v="6"/>
  </r>
  <r>
    <n v="29"/>
    <s v="25 30 Mayo"/>
    <s v="CIPSA (Control de Plagas)"/>
    <x v="2"/>
    <n v="0"/>
    <n v="3886"/>
    <s v="29 25 30 Mayo"/>
    <x v="6"/>
  </r>
  <r>
    <n v="29"/>
    <s v="25 30 Mayo"/>
    <s v="CODICE ETIQUETAS"/>
    <x v="3"/>
    <n v="4172.1099999999997"/>
    <n v="0"/>
    <s v="29 25 30 Mayo"/>
    <x v="6"/>
  </r>
  <r>
    <n v="29"/>
    <s v="25 30 Mayo"/>
    <s v="DEPACHO GARNICA (Pago Febrero 2026)"/>
    <x v="2"/>
    <n v="0"/>
    <n v="8952.2999999999993"/>
    <s v="29 25 30 Mayo"/>
    <x v="6"/>
  </r>
  <r>
    <n v="29"/>
    <s v="25 30 Mayo"/>
    <s v="DIKEN"/>
    <x v="4"/>
    <n v="0"/>
    <n v="2033"/>
    <s v="29 25 30 Mayo"/>
    <x v="6"/>
  </r>
  <r>
    <n v="29"/>
    <s v="25 30 Mayo"/>
    <s v="Edgar Joel Vega Martínez (Emplaye)"/>
    <x v="3"/>
    <n v="0"/>
    <n v="8129.69"/>
    <s v="29 25 30 Mayo"/>
    <x v="6"/>
  </r>
  <r>
    <n v="29"/>
    <s v="25 30 Mayo"/>
    <s v="EMBAPACK Bolsa AZUL y verde"/>
    <x v="3"/>
    <n v="1783"/>
    <n v="0"/>
    <s v="29 25 30 Mayo"/>
    <x v="6"/>
  </r>
  <r>
    <n v="29"/>
    <s v="25 30 Mayo"/>
    <s v="EMBAPACK Bolsa AZUL)"/>
    <x v="3"/>
    <n v="3596"/>
    <n v="0"/>
    <s v="29 25 30 Mayo"/>
    <x v="6"/>
  </r>
  <r>
    <n v="29"/>
    <s v="25 30 Mayo"/>
    <s v="GALU"/>
    <x v="6"/>
    <n v="0"/>
    <n v="60000"/>
    <s v="29 25 30 Mayo"/>
    <x v="6"/>
  </r>
  <r>
    <n v="29"/>
    <s v="25 30 Mayo"/>
    <s v="GLADYS (CERTIFICACION)"/>
    <x v="2"/>
    <n v="0"/>
    <n v="15000"/>
    <s v="29 25 30 Mayo"/>
    <x v="6"/>
  </r>
  <r>
    <n v="29"/>
    <s v="25 30 Mayo"/>
    <s v="IMSS CXM"/>
    <x v="5"/>
    <n v="26453.74"/>
    <n v="0"/>
    <s v="29 25 30 Mayo"/>
    <x v="6"/>
  </r>
  <r>
    <n v="29"/>
    <s v="25 30 Mayo"/>
    <s v="JOSE HDEZ GARCIA (PAGO TARIMA)"/>
    <x v="3"/>
    <n v="15370"/>
    <n v="15370"/>
    <s v="29 25 30 Mayo"/>
    <x v="6"/>
  </r>
  <r>
    <n v="29"/>
    <s v="25 30 Mayo"/>
    <s v="JOSE &quot;CARAS&quot; EQUIPO REFRIGERACION"/>
    <x v="0"/>
    <n v="15000"/>
    <n v="0"/>
    <s v="29 25 30 Mayo"/>
    <x v="6"/>
  </r>
  <r>
    <n v="29"/>
    <s v="25 30 Mayo"/>
    <s v="JOSE &quot;CARAS&quot; EQUIPO REFRIGERACION"/>
    <x v="0"/>
    <n v="5000"/>
    <n v="0"/>
    <s v="29 25 30 Mayo"/>
    <x v="6"/>
  </r>
  <r>
    <n v="29"/>
    <s v="25 30 Mayo"/>
    <s v="MK BOXES RUTH GDL"/>
    <x v="4"/>
    <n v="0"/>
    <n v="77738.850000000006"/>
    <s v="29 25 30 Mayo"/>
    <x v="6"/>
  </r>
  <r>
    <n v="29"/>
    <s v="25 30 Mayo"/>
    <s v="PATAGONIA CAJA CARTON y 30 lbs"/>
    <x v="3"/>
    <n v="31215.599999999999"/>
    <n v="0"/>
    <s v="29 25 30 Mayo"/>
    <x v="6"/>
  </r>
  <r>
    <n v="29"/>
    <s v="25 30 Mayo"/>
    <s v="PATAGONIA CAJA CARTON y 30 lbs"/>
    <x v="3"/>
    <n v="9802"/>
    <n v="0"/>
    <s v="29 25 30 Mayo"/>
    <x v="6"/>
  </r>
  <r>
    <n v="29"/>
    <s v="25 30 Mayo"/>
    <s v="PATAGONIA CAJA CARTON y 30 lbs"/>
    <x v="3"/>
    <n v="13722.8"/>
    <n v="0"/>
    <s v="29 25 30 Mayo"/>
    <x v="6"/>
  </r>
  <r>
    <n v="29"/>
    <s v="25 30 Mayo"/>
    <s v="PRIMUS LAB"/>
    <x v="2"/>
    <n v="6086.26"/>
    <n v="0"/>
    <s v="29 25 30 Mayo"/>
    <x v="6"/>
  </r>
  <r>
    <n v="29"/>
    <s v="25 30 Mayo"/>
    <s v="AVV MONARCA"/>
    <x v="4"/>
    <n v="11000"/>
    <n v="0"/>
    <s v="29 25 30 Mayo"/>
    <x v="6"/>
  </r>
  <r>
    <n v="29"/>
    <s v="25 30 Mayo"/>
    <s v="IMPUESTOS LAR"/>
    <x v="5"/>
    <n v="13428"/>
    <n v="0"/>
    <s v="29 25 30 Mayo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C97A7-BA02-4D1E-82D9-47404B2F5EB9}" name="PvCatMes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L1:AT10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8">
        <item x="3"/>
        <item x="5"/>
        <item x="6"/>
        <item x="0"/>
        <item x="4"/>
        <item x="1"/>
        <item x="2"/>
        <item t="default"/>
      </items>
    </pivotField>
    <pivotField dataField="1" compact="0" numFmtId="168" outline="0" showAll="0"/>
    <pivotField compact="0" numFmtId="168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Pago" fld="4" baseField="0" baseItem="0" numFmtId="16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B2B8-D4AE-48B6-959D-BFBB66983862}" name="PvCatego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1:G9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5"/>
        <item x="6"/>
        <item x="0"/>
        <item x="4"/>
        <item x="1"/>
        <item x="2"/>
        <item t="default"/>
      </items>
    </pivotField>
    <pivotField dataField="1" compact="0" numFmtId="168" outline="0" showAll="0"/>
    <pivotField compact="0" numFmtId="168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Pago" fld="4" baseField="0" baseItem="0" numFmtId="168"/>
  </dataFields>
  <formats count="1">
    <format dxfId="1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254F3-A99C-4583-B50B-ED2D7311B7CF}" name="PvSeman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1:C31" firstHeaderRow="0" firstDataRow="1" firstDataCol="1"/>
  <pivotFields count="7">
    <pivotField compact="0" outline="0" showAll="0"/>
    <pivotField compact="0" outline="0" showAll="0">
      <items count="30">
        <item x="12"/>
        <item x="3"/>
        <item x="16"/>
        <item x="25"/>
        <item x="8"/>
        <item x="21"/>
        <item x="4"/>
        <item x="13"/>
        <item x="17"/>
        <item x="0"/>
        <item x="26"/>
        <item x="9"/>
        <item x="22"/>
        <item x="5"/>
        <item x="14"/>
        <item x="18"/>
        <item x="1"/>
        <item x="27"/>
        <item x="10"/>
        <item x="23"/>
        <item x="6"/>
        <item x="15"/>
        <item x="19"/>
        <item x="2"/>
        <item x="28"/>
        <item x="11"/>
        <item x="24"/>
        <item x="7"/>
        <item x="20"/>
        <item t="default"/>
      </items>
    </pivotField>
    <pivotField compact="0" outline="0" showAll="0"/>
    <pivotField compact="0" outline="0" showAll="0">
      <items count="8">
        <item x="3"/>
        <item x="5"/>
        <item x="6"/>
        <item x="0"/>
        <item x="4"/>
        <item x="1"/>
        <item x="2"/>
        <item t="default"/>
      </items>
    </pivotField>
    <pivotField dataField="1" compact="0" numFmtId="168" outline="0" showAll="0"/>
    <pivotField dataField="1" compact="0" numFmtId="168" outline="0" showAll="0"/>
    <pivotField axis="axisRow"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6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ago" fld="4" baseField="0" baseItem="0" numFmtId="168"/>
    <dataField name="Suma de Pendiente" fld="5" baseField="0" baseItem="0" numFmtId="168"/>
  </dataFields>
  <formats count="1">
    <format dxfId="12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A0A8E-CAB0-46E6-9EDD-F70771A5D071}" name="PvConcep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1:K119" firstHeaderRow="1" firstDataRow="1" firstDataCol="1"/>
  <pivotFields count="7">
    <pivotField compact="0" outline="0" showAll="0"/>
    <pivotField compact="0" outline="0" showAll="0"/>
    <pivotField axis="axisRow" compact="0" outline="0" showAll="0">
      <items count="118">
        <item x="91"/>
        <item x="49"/>
        <item x="61"/>
        <item x="4"/>
        <item x="3"/>
        <item x="64"/>
        <item x="74"/>
        <item x="31"/>
        <item x="27"/>
        <item x="30"/>
        <item x="62"/>
        <item x="103"/>
        <item x="43"/>
        <item x="55"/>
        <item x="21"/>
        <item x="26"/>
        <item x="56"/>
        <item x="50"/>
        <item x="51"/>
        <item x="52"/>
        <item x="57"/>
        <item x="79"/>
        <item x="107"/>
        <item x="14"/>
        <item x="78"/>
        <item x="5"/>
        <item x="114"/>
        <item x="76"/>
        <item x="39"/>
        <item x="100"/>
        <item x="72"/>
        <item x="20"/>
        <item x="16"/>
        <item x="34"/>
        <item x="35"/>
        <item x="81"/>
        <item x="18"/>
        <item x="46"/>
        <item x="6"/>
        <item x="108"/>
        <item x="40"/>
        <item x="58"/>
        <item x="101"/>
        <item x="17"/>
        <item x="23"/>
        <item x="89"/>
        <item x="115"/>
        <item x="110"/>
        <item x="109"/>
        <item x="88"/>
        <item x="65"/>
        <item x="67"/>
        <item x="29"/>
        <item x="92"/>
        <item x="66"/>
        <item x="102"/>
        <item x="53"/>
        <item x="77"/>
        <item x="33"/>
        <item x="28"/>
        <item x="97"/>
        <item x="113"/>
        <item x="104"/>
        <item x="48"/>
        <item x="54"/>
        <item x="93"/>
        <item x="36"/>
        <item x="80"/>
        <item x="15"/>
        <item x="116"/>
        <item x="68"/>
        <item x="25"/>
        <item x="111"/>
        <item x="7"/>
        <item x="24"/>
        <item x="69"/>
        <item x="59"/>
        <item x="84"/>
        <item x="98"/>
        <item x="10"/>
        <item x="0"/>
        <item x="70"/>
        <item x="87"/>
        <item x="86"/>
        <item x="106"/>
        <item x="105"/>
        <item x="42"/>
        <item x="83"/>
        <item x="41"/>
        <item x="96"/>
        <item x="73"/>
        <item x="37"/>
        <item x="99"/>
        <item x="94"/>
        <item x="2"/>
        <item x="85"/>
        <item x="38"/>
        <item x="47"/>
        <item x="1"/>
        <item x="11"/>
        <item x="75"/>
        <item x="82"/>
        <item x="44"/>
        <item x="60"/>
        <item x="9"/>
        <item x="12"/>
        <item x="13"/>
        <item x="112"/>
        <item x="8"/>
        <item x="32"/>
        <item x="19"/>
        <item x="71"/>
        <item x="22"/>
        <item x="45"/>
        <item x="95"/>
        <item x="90"/>
        <item x="63"/>
        <item t="default"/>
      </items>
    </pivotField>
    <pivotField compact="0" outline="0" showAll="0"/>
    <pivotField dataField="1" compact="0" numFmtId="168" outline="0" showAll="0"/>
    <pivotField compact="0" numFmtId="168" outline="0" showAll="0"/>
    <pivotField compact="0" outline="0" showAll="0"/>
  </pivotFields>
  <rowFields count="1">
    <field x="2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Suma de Pago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51E6CB56-2177-4B24-8ED2-6B5451618F2A}" sourceName="Categoría">
  <pivotTables>
    <pivotTable tabId="33" name="PvSemana"/>
  </pivotTables>
  <data>
    <tabular pivotCacheId="631707193">
      <items count="7">
        <i x="3" s="1"/>
        <i x="5" s="1"/>
        <i x="6" s="1"/>
        <i x="0" s="1"/>
        <i x="4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" xr10:uid="{F6921474-EC51-4AAB-A411-220A51103319}" sourceName="Semana">
  <pivotTables>
    <pivotTable tabId="33" name="PvSemana"/>
  </pivotTables>
  <data>
    <tabular pivotCacheId="631707193">
      <items count="29">
        <i x="12" s="1"/>
        <i x="3" s="1"/>
        <i x="16" s="1"/>
        <i x="25" s="1"/>
        <i x="8" s="1"/>
        <i x="21" s="1"/>
        <i x="4" s="1"/>
        <i x="13" s="1"/>
        <i x="17" s="1"/>
        <i x="0" s="1"/>
        <i x="26" s="1"/>
        <i x="9" s="1"/>
        <i x="22" s="1"/>
        <i x="5" s="1"/>
        <i x="14" s="1"/>
        <i x="18" s="1"/>
        <i x="1" s="1"/>
        <i x="27" s="1"/>
        <i x="10" s="1"/>
        <i x="23" s="1"/>
        <i x="6" s="1"/>
        <i x="15" s="1"/>
        <i x="19" s="1"/>
        <i x="2" s="1"/>
        <i x="28" s="1"/>
        <i x="11" s="1"/>
        <i x="24" s="1"/>
        <i x="7" s="1"/>
        <i x="2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icer_Categoria" xr10:uid="{6465B0E1-98A6-44ED-840D-4D92CCFBD20E}" cache="SegmentaciónDeDatos_Categoría" caption="Categoría" rowHeight="234950"/>
  <slicer name="Slicer_Semana" xr10:uid="{F8BC015C-B892-48F2-8CEE-D8952B0648F4}" cache="SegmentaciónDeDatos_Semana" caption="Seman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003BE-B5C2-4F5A-A1C2-FC8B484B93B3}" name="TablaGastos" displayName="TablaGastos" ref="A1:H474" totalsRowCount="1" headerRowDxfId="124">
  <autoFilter ref="A1:H473" xr:uid="{B74003BE-B5C2-4F5A-A1C2-FC8B484B93B3}"/>
  <tableColumns count="8">
    <tableColumn id="1" xr3:uid="{D1262D39-39FA-448C-995E-FDBEE3F02FA7}" name="Orden" totalsRowLabel="Total"/>
    <tableColumn id="2" xr3:uid="{59B43090-C23D-46C2-BA38-33231EDC1466}" name="Semana"/>
    <tableColumn id="3" xr3:uid="{BBFC214A-1FD2-4E7E-8254-0F65EDFB75B2}" name="Concepto"/>
    <tableColumn id="4" xr3:uid="{D6A16C4B-9E69-417E-909C-99C8CE8880C1}" name="Categoría"/>
    <tableColumn id="5" xr3:uid="{129902C9-E22E-41D0-AC7F-5985128AF5C0}" name="Pago" totalsRowFunction="sum" dataDxfId="123" totalsRowDxfId="119"/>
    <tableColumn id="6" xr3:uid="{AFF44D04-1C59-442D-9C42-069A6CBCCCAD}" name="Pendiente" totalsRowFunction="sum" dataDxfId="122" totalsRowDxfId="118"/>
    <tableColumn id="7" xr3:uid="{907009FD-B965-4B1F-AEA5-BBEAA9B22275}" name="Periodo" dataDxfId="121">
      <calculatedColumnFormula>TEXT(TablaGastos[[#This Row],[Orden]],"00")&amp;" "&amp;TablaGastos[[#This Row],[Semana]]</calculatedColumnFormula>
    </tableColumn>
    <tableColumn id="8" xr3:uid="{4B873E6F-8D40-403E-B9A2-C021EBE04CF8}" name="Mes" dataDxfId="120">
      <calculatedColumnFormula>_xlfn.XLOOKUP(TablaGastos[[#This Row],[Semana]],Pivots!$U$2:$U$30,Pivots!$Y$2:$Y$30)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A334E2-02C2-4605-B99D-648AFA580C6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97d6fbb0-1dee-4828-abdb-f713973aadb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F3A0-7C3B-4BE7-8BB6-385DABA68517}">
  <dimension ref="A1:V85"/>
  <sheetViews>
    <sheetView showGridLines="0" tabSelected="1" topLeftCell="A67" zoomScale="70" zoomScaleNormal="70" workbookViewId="0">
      <selection activeCell="M78" sqref="M78"/>
    </sheetView>
  </sheetViews>
  <sheetFormatPr baseColWidth="10" defaultRowHeight="14.4" x14ac:dyDescent="0.3"/>
  <cols>
    <col min="1" max="7" width="20.33203125" customWidth="1"/>
  </cols>
  <sheetData>
    <row r="1" spans="1:22" ht="23.4" x14ac:dyDescent="0.45">
      <c r="A1" s="62" t="s">
        <v>412</v>
      </c>
    </row>
    <row r="3" spans="1:22" ht="25.95" customHeight="1" x14ac:dyDescent="0.3">
      <c r="A3" s="117" t="s">
        <v>413</v>
      </c>
      <c r="B3" s="117" t="s">
        <v>414</v>
      </c>
      <c r="C3" s="117" t="s">
        <v>415</v>
      </c>
      <c r="D3" s="117" t="s">
        <v>416</v>
      </c>
      <c r="E3" s="117" t="s">
        <v>417</v>
      </c>
      <c r="F3" s="138" t="s">
        <v>427</v>
      </c>
      <c r="G3" s="138" t="s">
        <v>428</v>
      </c>
    </row>
    <row r="4" spans="1:22" ht="25.95" customHeight="1" x14ac:dyDescent="0.4">
      <c r="A4" s="118">
        <f>SUM(TablaGastos[Pago])</f>
        <v>7051503.5980000021</v>
      </c>
      <c r="B4" s="118">
        <f>SUM(TablaGastos[Pendiente])</f>
        <v>5246593.8800000018</v>
      </c>
      <c r="C4" s="119">
        <f>COUNTA(TablaGastos[Concepto])</f>
        <v>472</v>
      </c>
      <c r="D4" s="119" cm="1">
        <f t="array" ref="D4">SUMPRODUCT(1/COUNTIF(TablaGastos[Semana],TablaGastos[Semana]))</f>
        <v>29.000000000000011</v>
      </c>
      <c r="E4" s="118">
        <f>A4/D4</f>
        <v>243155.2964827586</v>
      </c>
      <c r="F4" s="139">
        <f>Pivots!V31</f>
        <v>8487715.7599999998</v>
      </c>
      <c r="G4" s="139">
        <f>Pivots!W31</f>
        <v>306450</v>
      </c>
    </row>
    <row r="5" spans="1:22" x14ac:dyDescent="0.3">
      <c r="V5" s="63" t="s">
        <v>418</v>
      </c>
    </row>
    <row r="66" spans="1:6" ht="17.399999999999999" x14ac:dyDescent="0.35">
      <c r="A66" s="268" t="s">
        <v>442</v>
      </c>
    </row>
    <row r="67" spans="1:6" x14ac:dyDescent="0.3">
      <c r="A67" s="59" t="s">
        <v>433</v>
      </c>
      <c r="B67" s="59" t="s">
        <v>423</v>
      </c>
      <c r="C67" s="59" t="s">
        <v>424</v>
      </c>
      <c r="D67" s="59" t="s">
        <v>425</v>
      </c>
      <c r="E67" s="59" t="s">
        <v>269</v>
      </c>
      <c r="F67" s="59" t="s">
        <v>437</v>
      </c>
    </row>
    <row r="68" spans="1:6" x14ac:dyDescent="0.3">
      <c r="A68" t="str" cm="1">
        <f t="array" ref="A68:F74">Pivots!AA2:AF8</f>
        <v>1-Nov</v>
      </c>
      <c r="B68" s="61">
        <v>736500.8</v>
      </c>
      <c r="C68" s="61">
        <v>12950</v>
      </c>
      <c r="D68" s="61">
        <v>743476</v>
      </c>
      <c r="E68" s="61">
        <v>329762</v>
      </c>
      <c r="F68" s="61">
        <v>-19925.199999999953</v>
      </c>
    </row>
    <row r="69" spans="1:6" x14ac:dyDescent="0.3">
      <c r="A69" t="str">
        <v>2-Dic</v>
      </c>
      <c r="B69" s="61">
        <v>1758496.8</v>
      </c>
      <c r="C69" s="61">
        <v>42850</v>
      </c>
      <c r="D69" s="61">
        <v>1811975.02</v>
      </c>
      <c r="E69" s="61">
        <v>742446.26000000013</v>
      </c>
      <c r="F69" s="61">
        <v>-96328.219999999972</v>
      </c>
    </row>
    <row r="70" spans="1:6" x14ac:dyDescent="0.3">
      <c r="A70" t="str">
        <v>3-Ene</v>
      </c>
      <c r="B70" s="61">
        <v>1008213.08</v>
      </c>
      <c r="C70" s="61">
        <v>0</v>
      </c>
      <c r="D70" s="61">
        <v>605682.21</v>
      </c>
      <c r="E70" s="61">
        <v>783233.22</v>
      </c>
      <c r="F70" s="61">
        <v>402530.87</v>
      </c>
    </row>
    <row r="71" spans="1:6" x14ac:dyDescent="0.3">
      <c r="A71" t="str">
        <v>4-Feb</v>
      </c>
      <c r="B71" s="61">
        <v>1214504</v>
      </c>
      <c r="C71" s="61">
        <v>0</v>
      </c>
      <c r="D71" s="61">
        <v>844914.57</v>
      </c>
      <c r="E71" s="61">
        <v>927193.04</v>
      </c>
      <c r="F71" s="61">
        <v>369589.43000000005</v>
      </c>
    </row>
    <row r="72" spans="1:6" x14ac:dyDescent="0.3">
      <c r="A72" t="str">
        <v>5-Mar</v>
      </c>
      <c r="B72" s="61">
        <v>1322706</v>
      </c>
      <c r="C72" s="61">
        <v>75850</v>
      </c>
      <c r="D72" s="61">
        <v>809867.0340000001</v>
      </c>
      <c r="E72" s="61">
        <v>900505.74000000011</v>
      </c>
      <c r="F72" s="61">
        <v>436988.9659999999</v>
      </c>
    </row>
    <row r="73" spans="1:6" x14ac:dyDescent="0.3">
      <c r="A73" t="str">
        <v>6-Abr</v>
      </c>
      <c r="B73" s="61">
        <v>1382415.28</v>
      </c>
      <c r="C73" s="61">
        <v>92750</v>
      </c>
      <c r="D73" s="61">
        <v>1198456.6800000002</v>
      </c>
      <c r="E73" s="61">
        <v>543865.20000000007</v>
      </c>
      <c r="F73" s="61">
        <v>91208.59999999986</v>
      </c>
    </row>
    <row r="74" spans="1:6" x14ac:dyDescent="0.3">
      <c r="A74" t="str">
        <v>7-May</v>
      </c>
      <c r="B74" s="61">
        <v>1064879.8</v>
      </c>
      <c r="C74" s="61">
        <v>82050</v>
      </c>
      <c r="D74" s="61">
        <v>1037132.084</v>
      </c>
      <c r="E74" s="61">
        <v>1019588.42</v>
      </c>
      <c r="F74" s="61">
        <v>-54302.283999999985</v>
      </c>
    </row>
    <row r="85" spans="1:1" ht="17.399999999999999" x14ac:dyDescent="0.35">
      <c r="A85" s="268" t="s">
        <v>451</v>
      </c>
    </row>
  </sheetData>
  <conditionalFormatting sqref="F68:F74">
    <cfRule type="cellIs" dxfId="117" priority="1" operator="lessThan">
      <formula>0</formula>
    </cfRule>
  </conditionalFormatting>
  <conditionalFormatting sqref="F68:F74">
    <cfRule type="cellIs" dxfId="116" priority="2" operator="greaterThanOr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F00E-ECA2-43C8-9A38-9B01727D8498}">
  <dimension ref="B3:M28"/>
  <sheetViews>
    <sheetView workbookViewId="0">
      <selection activeCell="H20" sqref="H20"/>
    </sheetView>
  </sheetViews>
  <sheetFormatPr baseColWidth="10" defaultColWidth="11.44140625" defaultRowHeight="14.4" x14ac:dyDescent="0.3"/>
  <cols>
    <col min="2" max="2" width="25.44140625" customWidth="1"/>
    <col min="3" max="3" width="14.88671875" style="1" customWidth="1"/>
    <col min="7" max="7" width="32.88671875" bestFit="1" customWidth="1"/>
    <col min="11" max="11" width="11.5546875" style="1"/>
    <col min="13" max="13" width="11.5546875" style="1"/>
  </cols>
  <sheetData>
    <row r="3" spans="2:13" x14ac:dyDescent="0.3">
      <c r="B3" t="s">
        <v>0</v>
      </c>
      <c r="C3" s="7">
        <v>41000</v>
      </c>
    </row>
    <row r="4" spans="2:13" x14ac:dyDescent="0.3">
      <c r="B4" t="s">
        <v>1</v>
      </c>
      <c r="C4" s="7">
        <v>44205.22</v>
      </c>
      <c r="D4" s="6">
        <f>SUM(C3:C4)</f>
        <v>85205.22</v>
      </c>
    </row>
    <row r="5" spans="2:13" x14ac:dyDescent="0.3">
      <c r="B5" t="s">
        <v>2</v>
      </c>
      <c r="C5" s="7">
        <v>48374.59</v>
      </c>
      <c r="G5" t="s">
        <v>3</v>
      </c>
      <c r="H5" s="10">
        <v>45000</v>
      </c>
      <c r="K5" s="1">
        <v>20000</v>
      </c>
      <c r="M5" s="1">
        <v>76000</v>
      </c>
    </row>
    <row r="6" spans="2:13" x14ac:dyDescent="0.3">
      <c r="B6" t="s">
        <v>3</v>
      </c>
      <c r="C6" s="1">
        <v>40000</v>
      </c>
      <c r="G6" t="s">
        <v>4</v>
      </c>
      <c r="H6" s="10">
        <v>90000</v>
      </c>
      <c r="I6" s="5">
        <v>205495.79200000002</v>
      </c>
      <c r="M6" s="1">
        <v>16000</v>
      </c>
    </row>
    <row r="7" spans="2:13" x14ac:dyDescent="0.3">
      <c r="B7" t="s">
        <v>5</v>
      </c>
      <c r="C7" s="10">
        <v>10000</v>
      </c>
      <c r="G7" t="s">
        <v>6</v>
      </c>
      <c r="H7" s="1">
        <v>16240</v>
      </c>
      <c r="M7" s="3">
        <f>SUM(M5:M6)</f>
        <v>92000</v>
      </c>
    </row>
    <row r="8" spans="2:13" x14ac:dyDescent="0.3">
      <c r="B8" t="s">
        <v>4</v>
      </c>
      <c r="C8" s="5">
        <v>205495.79200000002</v>
      </c>
      <c r="G8" t="s">
        <v>7</v>
      </c>
      <c r="H8" s="1">
        <v>2784</v>
      </c>
    </row>
    <row r="9" spans="2:13" x14ac:dyDescent="0.3">
      <c r="B9" t="s">
        <v>8</v>
      </c>
      <c r="C9" s="9">
        <v>230111.28</v>
      </c>
      <c r="H9" s="1"/>
    </row>
    <row r="10" spans="2:13" x14ac:dyDescent="0.3">
      <c r="B10" t="s">
        <v>9</v>
      </c>
      <c r="C10" s="7">
        <f>2427*27</f>
        <v>65529</v>
      </c>
      <c r="G10" s="1" t="s">
        <v>10</v>
      </c>
      <c r="H10" s="10">
        <v>35323</v>
      </c>
    </row>
    <row r="11" spans="2:13" x14ac:dyDescent="0.3">
      <c r="B11" t="s">
        <v>6</v>
      </c>
      <c r="C11" s="1">
        <v>16240</v>
      </c>
      <c r="G11" s="1" t="s">
        <v>11</v>
      </c>
      <c r="H11" s="10">
        <v>49074.84</v>
      </c>
    </row>
    <row r="12" spans="2:13" x14ac:dyDescent="0.3">
      <c r="B12" t="s">
        <v>7</v>
      </c>
      <c r="C12" s="1">
        <v>2784</v>
      </c>
      <c r="G12" s="1" t="s">
        <v>12</v>
      </c>
      <c r="H12" s="10">
        <v>4060</v>
      </c>
    </row>
    <row r="13" spans="2:13" x14ac:dyDescent="0.3">
      <c r="B13" t="s">
        <v>13</v>
      </c>
      <c r="C13" s="10">
        <f>1100*7</f>
        <v>7700</v>
      </c>
      <c r="G13" s="1" t="s">
        <v>14</v>
      </c>
      <c r="H13" s="10">
        <v>4263</v>
      </c>
    </row>
    <row r="14" spans="2:13" x14ac:dyDescent="0.3">
      <c r="B14" t="s">
        <v>15</v>
      </c>
      <c r="C14" s="7">
        <v>2532.4499999999998</v>
      </c>
      <c r="D14" t="s">
        <v>16</v>
      </c>
      <c r="G14" s="1" t="s">
        <v>17</v>
      </c>
      <c r="H14" s="10">
        <v>15000</v>
      </c>
    </row>
    <row r="15" spans="2:13" x14ac:dyDescent="0.3">
      <c r="B15" t="s">
        <v>18</v>
      </c>
      <c r="C15" s="1">
        <v>33000</v>
      </c>
      <c r="G15" s="1" t="s">
        <v>19</v>
      </c>
      <c r="H15" s="10">
        <v>25000</v>
      </c>
    </row>
    <row r="16" spans="2:13" x14ac:dyDescent="0.3">
      <c r="B16" s="2" t="s">
        <v>20</v>
      </c>
      <c r="C16" s="3">
        <f>SUM(C2:C15)</f>
        <v>746972.33199999994</v>
      </c>
      <c r="G16" s="1" t="s">
        <v>21</v>
      </c>
      <c r="H16" s="10">
        <v>3500</v>
      </c>
    </row>
    <row r="17" spans="2:12" x14ac:dyDescent="0.3">
      <c r="B17" s="2"/>
      <c r="C17" s="3"/>
      <c r="G17" s="1" t="s">
        <v>22</v>
      </c>
      <c r="H17" s="1">
        <v>1800</v>
      </c>
    </row>
    <row r="18" spans="2:12" x14ac:dyDescent="0.3">
      <c r="B18" s="2" t="s">
        <v>23</v>
      </c>
      <c r="C18" s="3">
        <v>719568</v>
      </c>
      <c r="G18" s="1" t="s">
        <v>24</v>
      </c>
      <c r="H18" s="10">
        <v>52000</v>
      </c>
      <c r="K18" s="8">
        <f>H18</f>
        <v>52000</v>
      </c>
    </row>
    <row r="19" spans="2:12" x14ac:dyDescent="0.3">
      <c r="B19" s="2"/>
      <c r="C19" s="3"/>
      <c r="G19" s="1" t="s">
        <v>25</v>
      </c>
      <c r="H19" s="10">
        <v>3600</v>
      </c>
      <c r="K19" s="8">
        <v>3600</v>
      </c>
    </row>
    <row r="20" spans="2:12" x14ac:dyDescent="0.3">
      <c r="B20" s="2" t="s">
        <v>26</v>
      </c>
      <c r="C20" s="4">
        <f>C18-C16</f>
        <v>-27404.331999999937</v>
      </c>
      <c r="G20" s="1" t="s">
        <v>27</v>
      </c>
      <c r="H20" s="10">
        <v>2500</v>
      </c>
      <c r="K20" s="8"/>
    </row>
    <row r="21" spans="2:12" x14ac:dyDescent="0.3">
      <c r="H21" s="3">
        <f>SUM(H5:H20)</f>
        <v>350144.83999999997</v>
      </c>
      <c r="I21" s="1"/>
      <c r="K21" s="6">
        <f>SUM(K5:K20)</f>
        <v>75600</v>
      </c>
      <c r="L21" s="6">
        <f>SUM(K17:K20)</f>
        <v>55600</v>
      </c>
    </row>
    <row r="22" spans="2:12" x14ac:dyDescent="0.3">
      <c r="I22" s="1"/>
      <c r="K22" s="11">
        <f>K21-M7</f>
        <v>-16400</v>
      </c>
    </row>
    <row r="23" spans="2:12" x14ac:dyDescent="0.3">
      <c r="G23" t="s">
        <v>18</v>
      </c>
      <c r="H23" s="1">
        <v>166174.69</v>
      </c>
      <c r="I23" s="1">
        <v>76000</v>
      </c>
    </row>
    <row r="24" spans="2:12" x14ac:dyDescent="0.3">
      <c r="G24" t="s">
        <v>28</v>
      </c>
      <c r="H24" s="1">
        <v>175000</v>
      </c>
      <c r="I24" s="1">
        <v>175000</v>
      </c>
    </row>
    <row r="25" spans="2:12" x14ac:dyDescent="0.3">
      <c r="H25" s="3">
        <f>SUM(H23:H24)</f>
        <v>341174.69</v>
      </c>
      <c r="I25" s="1"/>
    </row>
    <row r="26" spans="2:12" x14ac:dyDescent="0.3">
      <c r="I26" s="1"/>
    </row>
    <row r="27" spans="2:12" x14ac:dyDescent="0.3">
      <c r="H27" s="12">
        <f>H25-H21</f>
        <v>-8970.1499999999651</v>
      </c>
      <c r="I27" s="1"/>
    </row>
    <row r="28" spans="2:12" x14ac:dyDescent="0.3">
      <c r="I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474A-64E1-4D24-90EF-E0CE2A6CB1A9}">
  <dimension ref="A1:AT119"/>
  <sheetViews>
    <sheetView workbookViewId="0"/>
  </sheetViews>
  <sheetFormatPr baseColWidth="10" defaultRowHeight="14.4" x14ac:dyDescent="0.3"/>
  <cols>
    <col min="1" max="1" width="17.21875" bestFit="1" customWidth="1"/>
    <col min="2" max="2" width="13" bestFit="1" customWidth="1"/>
    <col min="3" max="3" width="17.44140625" bestFit="1" customWidth="1"/>
    <col min="6" max="6" width="16.33203125" bestFit="1" customWidth="1"/>
    <col min="7" max="7" width="13" bestFit="1" customWidth="1"/>
    <col min="10" max="10" width="37.5546875" bestFit="1" customWidth="1"/>
    <col min="11" max="11" width="13" bestFit="1" customWidth="1"/>
    <col min="38" max="38" width="13" bestFit="1" customWidth="1"/>
    <col min="39" max="45" width="17" bestFit="1" customWidth="1"/>
    <col min="46" max="46" width="11.88671875" bestFit="1" customWidth="1"/>
  </cols>
  <sheetData>
    <row r="1" spans="1:46" x14ac:dyDescent="0.3">
      <c r="A1" s="60" t="s">
        <v>378</v>
      </c>
      <c r="B1" t="s">
        <v>409</v>
      </c>
      <c r="C1" t="s">
        <v>410</v>
      </c>
      <c r="F1" s="60" t="s">
        <v>339</v>
      </c>
      <c r="G1" t="s">
        <v>409</v>
      </c>
      <c r="J1" s="60" t="s">
        <v>338</v>
      </c>
      <c r="K1" t="s">
        <v>409</v>
      </c>
      <c r="N1" t="s">
        <v>411</v>
      </c>
      <c r="O1" t="s">
        <v>340</v>
      </c>
      <c r="R1" t="s">
        <v>339</v>
      </c>
      <c r="S1" t="s">
        <v>340</v>
      </c>
      <c r="U1" s="2" t="s">
        <v>337</v>
      </c>
      <c r="V1" s="2" t="s">
        <v>423</v>
      </c>
      <c r="W1" s="2" t="s">
        <v>424</v>
      </c>
      <c r="X1" s="2" t="s">
        <v>425</v>
      </c>
      <c r="Y1" s="2" t="s">
        <v>433</v>
      </c>
      <c r="AA1" s="2" t="s">
        <v>433</v>
      </c>
      <c r="AB1" s="2" t="s">
        <v>423</v>
      </c>
      <c r="AC1" s="2" t="s">
        <v>424</v>
      </c>
      <c r="AD1" s="2" t="s">
        <v>425</v>
      </c>
      <c r="AE1" s="2" t="s">
        <v>269</v>
      </c>
      <c r="AF1" s="2" t="s">
        <v>437</v>
      </c>
      <c r="AH1" s="2" t="s">
        <v>433</v>
      </c>
      <c r="AI1" s="2" t="s">
        <v>425</v>
      </c>
      <c r="AJ1" s="2" t="s">
        <v>269</v>
      </c>
      <c r="AL1" s="60" t="s">
        <v>409</v>
      </c>
      <c r="AM1" s="60" t="s">
        <v>339</v>
      </c>
    </row>
    <row r="2" spans="1:46" x14ac:dyDescent="0.3">
      <c r="A2" t="s">
        <v>379</v>
      </c>
      <c r="B2" s="61">
        <v>311006</v>
      </c>
      <c r="C2" s="61">
        <v>18740</v>
      </c>
      <c r="F2" t="s">
        <v>422</v>
      </c>
      <c r="G2" s="61">
        <v>742050.46999999986</v>
      </c>
      <c r="J2" t="s">
        <v>258</v>
      </c>
      <c r="K2" s="61">
        <v>1076</v>
      </c>
      <c r="N2" t="str" cm="1">
        <f t="array" ref="N2:N13">_xlfn.TAKE(_xlfn.SORTBY(_xlfn.UNIQUE(TablaGastos[Concepto]),SUMIF(TablaGastos[Concepto],_xlfn.UNIQUE(TablaGastos[Concepto]),TablaGastos[Pago]),-1),12)</f>
        <v>NOMINA FV</v>
      </c>
      <c r="O2" s="61" cm="1">
        <f t="array" ref="O2:O13">SUMIF(TablaGastos[Concepto],_xlfn.ANCHORARRAY(N2),TablaGastos[Pago])</f>
        <v>3043298</v>
      </c>
      <c r="R2" t="str" cm="1">
        <f t="array" ref="R2:R8">_xlfn.SORTBY(_xlfn.UNIQUE(TablaGastos[Categoría]),SUMIF(TablaGastos[Categoría],_xlfn.UNIQUE(TablaGastos[Categoría]),TablaGastos[Pago]),-1)</f>
        <v>Nómina/Personal</v>
      </c>
      <c r="S2" s="61" cm="1">
        <f t="array" ref="S2:S8">SUMIF(TablaGastos[Categoría],_xlfn.ANCHORARRAY(R2),TablaGastos[Pago])</f>
        <v>4909233.7</v>
      </c>
      <c r="U2" t="s">
        <v>341</v>
      </c>
      <c r="V2" s="61">
        <f>'10-15 NOV'!G11</f>
        <v>303500.79999999999</v>
      </c>
      <c r="W2" s="61">
        <v>0</v>
      </c>
      <c r="X2" s="61">
        <f>SUMIFS(TablaGastos[Pago],TablaGastos[Semana],U2)</f>
        <v>311006</v>
      </c>
      <c r="Y2" s="267" t="s">
        <v>438</v>
      </c>
      <c r="AA2" s="267" t="s">
        <v>438</v>
      </c>
      <c r="AB2" s="61">
        <f>SUMIF($Y$2:$Y$30,$AA2,$V$2:$V$30)</f>
        <v>736500.8</v>
      </c>
      <c r="AC2" s="61">
        <f>SUMIF($Y$2:$Y$30,$AA2,$W$2:$W$30)</f>
        <v>12950</v>
      </c>
      <c r="AD2" s="61">
        <f>SUMIF($Y$2:$Y$30,$AA2,$X$2:$X$30)</f>
        <v>743476</v>
      </c>
      <c r="AE2" s="61">
        <f>SUMIFS(TablaGastos[Pendiente],TablaGastos[Mes],$AA2)</f>
        <v>329762</v>
      </c>
      <c r="AF2" s="61">
        <f>AB2-AC2-AD2</f>
        <v>-19925.199999999953</v>
      </c>
      <c r="AH2" t="str">
        <f>AA2</f>
        <v>1-Nov</v>
      </c>
      <c r="AI2" s="61">
        <f>AD2</f>
        <v>743476</v>
      </c>
      <c r="AJ2" s="61">
        <f>AE2</f>
        <v>329762</v>
      </c>
      <c r="AL2" s="60" t="s">
        <v>433</v>
      </c>
      <c r="AM2" t="s">
        <v>422</v>
      </c>
      <c r="AN2" t="s">
        <v>347</v>
      </c>
      <c r="AO2" t="s">
        <v>355</v>
      </c>
      <c r="AP2" t="s">
        <v>342</v>
      </c>
      <c r="AQ2" t="s">
        <v>344</v>
      </c>
      <c r="AR2" t="s">
        <v>343</v>
      </c>
      <c r="AS2" t="s">
        <v>421</v>
      </c>
      <c r="AT2" t="s">
        <v>408</v>
      </c>
    </row>
    <row r="3" spans="1:46" x14ac:dyDescent="0.3">
      <c r="A3" t="s">
        <v>380</v>
      </c>
      <c r="B3" s="61">
        <v>292000</v>
      </c>
      <c r="C3" s="61">
        <v>186222</v>
      </c>
      <c r="F3" t="s">
        <v>347</v>
      </c>
      <c r="G3" s="61">
        <v>186766.93</v>
      </c>
      <c r="J3" t="s">
        <v>150</v>
      </c>
      <c r="K3" s="61">
        <v>0</v>
      </c>
      <c r="N3" t="str">
        <v>NOMINA CXM</v>
      </c>
      <c r="O3" s="61">
        <v>555402.5</v>
      </c>
      <c r="R3" t="str">
        <v>Otros</v>
      </c>
      <c r="S3" s="61">
        <v>837866.08000000007</v>
      </c>
      <c r="U3" t="s">
        <v>345</v>
      </c>
      <c r="V3" s="61">
        <f>'17-22 NOV'!G11</f>
        <v>295000</v>
      </c>
      <c r="W3" s="61">
        <v>0</v>
      </c>
      <c r="X3" s="61">
        <f>SUMIFS(TablaGastos[Pago],TablaGastos[Semana],U3)</f>
        <v>292000</v>
      </c>
      <c r="Y3" s="267" t="s">
        <v>438</v>
      </c>
      <c r="AA3" s="267" t="s">
        <v>434</v>
      </c>
      <c r="AB3" s="61">
        <f>SUMIF($Y$2:$Y$30,$AA3,$V$2:$V$30)</f>
        <v>1758496.8</v>
      </c>
      <c r="AC3" s="61">
        <f>SUMIF($Y$2:$Y$30,$AA3,$W$2:$W$30)</f>
        <v>42850</v>
      </c>
      <c r="AD3" s="61">
        <f>SUMIF($Y$2:$Y$30,$AA3,$X$2:$X$30)</f>
        <v>1811975.02</v>
      </c>
      <c r="AE3" s="61">
        <f>SUMIFS(TablaGastos[Pendiente],TablaGastos[Mes],$AA3)</f>
        <v>742446.26000000013</v>
      </c>
      <c r="AF3" s="61">
        <f>AB3-AC3-AD3</f>
        <v>-96328.219999999972</v>
      </c>
      <c r="AH3" t="str">
        <f>AA3</f>
        <v>2-Dic</v>
      </c>
      <c r="AI3" s="61">
        <f>AD3</f>
        <v>1811975.02</v>
      </c>
      <c r="AJ3" s="61">
        <f>AE3</f>
        <v>742446.26000000013</v>
      </c>
      <c r="AL3" t="s">
        <v>438</v>
      </c>
      <c r="AM3" s="61">
        <v>15000</v>
      </c>
      <c r="AN3" s="61">
        <v>17470</v>
      </c>
      <c r="AO3" s="61"/>
      <c r="AP3" s="61">
        <v>650006</v>
      </c>
      <c r="AQ3" s="61">
        <v>0</v>
      </c>
      <c r="AR3" s="61">
        <v>37000</v>
      </c>
      <c r="AS3" s="61">
        <v>24000</v>
      </c>
      <c r="AT3" s="61">
        <v>743476</v>
      </c>
    </row>
    <row r="4" spans="1:46" x14ac:dyDescent="0.3">
      <c r="A4" t="s">
        <v>381</v>
      </c>
      <c r="B4" s="61">
        <v>140470</v>
      </c>
      <c r="C4" s="61">
        <v>124800</v>
      </c>
      <c r="F4" t="s">
        <v>355</v>
      </c>
      <c r="G4" s="61">
        <v>2729</v>
      </c>
      <c r="J4" t="s">
        <v>181</v>
      </c>
      <c r="K4" s="61">
        <v>60000</v>
      </c>
      <c r="N4" t="str">
        <v>RAISA</v>
      </c>
      <c r="O4" s="61">
        <v>329928.42</v>
      </c>
      <c r="R4" t="str">
        <v>Empaque/Material</v>
      </c>
      <c r="S4" s="61">
        <v>742050.46999999986</v>
      </c>
      <c r="U4" t="s">
        <v>346</v>
      </c>
      <c r="V4" s="61">
        <f>'24-29 NOV'!G11</f>
        <v>138000</v>
      </c>
      <c r="W4" s="61">
        <f>'24-29 NOV'!J18</f>
        <v>12950</v>
      </c>
      <c r="X4" s="61">
        <f>SUMIFS(TablaGastos[Pago],TablaGastos[Semana],U4)</f>
        <v>140470</v>
      </c>
      <c r="Y4" s="267" t="s">
        <v>438</v>
      </c>
      <c r="AA4" s="267" t="s">
        <v>435</v>
      </c>
      <c r="AB4" s="61">
        <f>SUMIF($Y$2:$Y$30,$AA4,$V$2:$V$30)</f>
        <v>1008213.08</v>
      </c>
      <c r="AC4" s="61">
        <f>SUMIF($Y$2:$Y$30,$AA4,$W$2:$W$30)</f>
        <v>0</v>
      </c>
      <c r="AD4" s="61">
        <f>SUMIF($Y$2:$Y$30,$AA4,$X$2:$X$30)</f>
        <v>605682.21</v>
      </c>
      <c r="AE4" s="61">
        <f>SUMIFS(TablaGastos[Pendiente],TablaGastos[Mes],$AA4)</f>
        <v>783233.22</v>
      </c>
      <c r="AF4" s="61">
        <f>AB4-AC4-AD4</f>
        <v>402530.87</v>
      </c>
      <c r="AH4" t="str">
        <f>AA4</f>
        <v>3-Ene</v>
      </c>
      <c r="AI4" s="61">
        <f>AD4</f>
        <v>605682.21</v>
      </c>
      <c r="AJ4" s="61">
        <f>AE4</f>
        <v>783233.22</v>
      </c>
      <c r="AL4" t="s">
        <v>434</v>
      </c>
      <c r="AM4" s="61">
        <v>95580.39</v>
      </c>
      <c r="AN4" s="61">
        <v>10000</v>
      </c>
      <c r="AO4" s="61"/>
      <c r="AP4" s="61">
        <v>972504.75</v>
      </c>
      <c r="AQ4" s="61">
        <v>638935.4</v>
      </c>
      <c r="AR4" s="61">
        <v>50000</v>
      </c>
      <c r="AS4" s="61">
        <v>44954.479999999996</v>
      </c>
      <c r="AT4" s="61">
        <v>1811975.02</v>
      </c>
    </row>
    <row r="5" spans="1:46" x14ac:dyDescent="0.3">
      <c r="A5" t="s">
        <v>382</v>
      </c>
      <c r="B5" s="61">
        <v>207784</v>
      </c>
      <c r="C5" s="61">
        <v>74150</v>
      </c>
      <c r="F5" t="s">
        <v>342</v>
      </c>
      <c r="G5" s="61">
        <v>4909233.7</v>
      </c>
      <c r="J5" t="s">
        <v>37</v>
      </c>
      <c r="K5" s="61">
        <v>184999.8</v>
      </c>
      <c r="N5" t="str">
        <v>AVV (PAGO SANTANDER)</v>
      </c>
      <c r="O5" s="61">
        <v>280000</v>
      </c>
      <c r="R5" t="str">
        <v>Servicios</v>
      </c>
      <c r="S5" s="61">
        <v>267089.41800000001</v>
      </c>
      <c r="U5" t="s">
        <v>348</v>
      </c>
      <c r="V5" s="61">
        <f>'01-06 Dic'!H11</f>
        <v>138000</v>
      </c>
      <c r="W5" s="61">
        <f>'01-06 Dic'!K18</f>
        <v>12950</v>
      </c>
      <c r="X5" s="61">
        <f>SUMIFS(TablaGastos[Pago],TablaGastos[Semana],U5)</f>
        <v>207784</v>
      </c>
      <c r="Y5" s="267" t="s">
        <v>434</v>
      </c>
      <c r="AA5" s="267" t="s">
        <v>439</v>
      </c>
      <c r="AB5" s="61">
        <f>SUMIF($Y$2:$Y$30,$AA5,$V$2:$V$30)</f>
        <v>1214504</v>
      </c>
      <c r="AC5" s="61">
        <f>SUMIF($Y$2:$Y$30,$AA5,$W$2:$W$30)</f>
        <v>0</v>
      </c>
      <c r="AD5" s="61">
        <f>SUMIF($Y$2:$Y$30,$AA5,$X$2:$X$30)</f>
        <v>844914.57</v>
      </c>
      <c r="AE5" s="61">
        <f>SUMIFS(TablaGastos[Pendiente],TablaGastos[Mes],$AA5)</f>
        <v>927193.04</v>
      </c>
      <c r="AF5" s="61">
        <f>AB5-AC5-AD5</f>
        <v>369589.43000000005</v>
      </c>
      <c r="AH5" t="str">
        <f>AA5</f>
        <v>4-Feb</v>
      </c>
      <c r="AI5" s="61">
        <f>AD5</f>
        <v>844914.57</v>
      </c>
      <c r="AJ5" s="61">
        <f>AE5</f>
        <v>927193.04</v>
      </c>
      <c r="AL5" t="s">
        <v>435</v>
      </c>
      <c r="AM5" s="61">
        <v>34481.54</v>
      </c>
      <c r="AN5" s="61">
        <v>30000</v>
      </c>
      <c r="AO5" s="61">
        <v>0</v>
      </c>
      <c r="AP5" s="61">
        <v>519300</v>
      </c>
      <c r="AQ5" s="61">
        <v>2041.71</v>
      </c>
      <c r="AR5" s="61"/>
      <c r="AS5" s="61">
        <v>19858.96</v>
      </c>
      <c r="AT5" s="61">
        <v>605682.21</v>
      </c>
    </row>
    <row r="6" spans="1:46" x14ac:dyDescent="0.3">
      <c r="A6" t="s">
        <v>383</v>
      </c>
      <c r="B6" s="61">
        <v>446604</v>
      </c>
      <c r="C6" s="61">
        <v>294012.05</v>
      </c>
      <c r="F6" t="s">
        <v>344</v>
      </c>
      <c r="G6" s="61">
        <v>837866.08000000007</v>
      </c>
      <c r="J6" t="s">
        <v>35</v>
      </c>
      <c r="K6" s="61">
        <v>240000</v>
      </c>
      <c r="N6" t="str">
        <v>AVV (PAGO MONARCA)</v>
      </c>
      <c r="O6" s="61">
        <v>260435</v>
      </c>
      <c r="R6" t="str">
        <v>Impuestos</v>
      </c>
      <c r="S6" s="61">
        <v>186766.93</v>
      </c>
      <c r="U6" t="s">
        <v>349</v>
      </c>
      <c r="V6" s="61">
        <f>'08-13 Dic'!H11</f>
        <v>446470</v>
      </c>
      <c r="W6" s="61">
        <f>'08-13 Dic'!H20</f>
        <v>16950</v>
      </c>
      <c r="X6" s="61">
        <f>SUMIFS(TablaGastos[Pago],TablaGastos[Semana],U6)</f>
        <v>446604</v>
      </c>
      <c r="Y6" s="267" t="s">
        <v>434</v>
      </c>
      <c r="AA6" s="267" t="s">
        <v>440</v>
      </c>
      <c r="AB6" s="61">
        <f>SUMIF($Y$2:$Y$30,$AA6,$V$2:$V$30)</f>
        <v>1322706</v>
      </c>
      <c r="AC6" s="61">
        <f>SUMIF($Y$2:$Y$30,$AA6,$W$2:$W$30)</f>
        <v>75850</v>
      </c>
      <c r="AD6" s="61">
        <f>SUMIF($Y$2:$Y$30,$AA6,$X$2:$X$30)</f>
        <v>809867.0340000001</v>
      </c>
      <c r="AE6" s="61">
        <f>SUMIFS(TablaGastos[Pendiente],TablaGastos[Mes],$AA6)</f>
        <v>900505.74000000011</v>
      </c>
      <c r="AF6" s="61">
        <f>AB6-AC6-AD6</f>
        <v>436988.9659999999</v>
      </c>
      <c r="AH6" t="str">
        <f>AA6</f>
        <v>5-Mar</v>
      </c>
      <c r="AI6" s="61">
        <f>AD6</f>
        <v>809867.0340000001</v>
      </c>
      <c r="AJ6" s="61">
        <f>AE6</f>
        <v>900505.74000000011</v>
      </c>
      <c r="AL6" t="s">
        <v>439</v>
      </c>
      <c r="AM6" s="61">
        <v>124017.68</v>
      </c>
      <c r="AN6" s="61">
        <v>0</v>
      </c>
      <c r="AO6" s="61">
        <v>0</v>
      </c>
      <c r="AP6" s="61">
        <v>667778.29</v>
      </c>
      <c r="AQ6" s="61">
        <v>36900</v>
      </c>
      <c r="AR6" s="61"/>
      <c r="AS6" s="61">
        <v>16218.6</v>
      </c>
      <c r="AT6" s="61">
        <v>844914.57</v>
      </c>
    </row>
    <row r="7" spans="1:46" x14ac:dyDescent="0.3">
      <c r="A7" t="s">
        <v>384</v>
      </c>
      <c r="B7" s="61">
        <v>392382.67000000004</v>
      </c>
      <c r="C7" s="61">
        <v>159012.04999999999</v>
      </c>
      <c r="F7" t="s">
        <v>343</v>
      </c>
      <c r="G7" s="61">
        <v>105768</v>
      </c>
      <c r="J7" t="s">
        <v>19</v>
      </c>
      <c r="K7" s="61">
        <v>6500</v>
      </c>
      <c r="N7" t="str">
        <v>ARTURO GUERRERO</v>
      </c>
      <c r="O7" s="61">
        <v>240000</v>
      </c>
      <c r="R7" t="str">
        <v>Producto/Fruta</v>
      </c>
      <c r="S7" s="61">
        <v>105768</v>
      </c>
      <c r="U7" t="s">
        <v>350</v>
      </c>
      <c r="V7" s="61">
        <f>'15-20 Dic'!H11</f>
        <v>381000</v>
      </c>
      <c r="W7" s="61">
        <f>'15-20 Dic'!H20</f>
        <v>12950</v>
      </c>
      <c r="X7" s="61">
        <f>SUMIFS(TablaGastos[Pago],TablaGastos[Semana],U7)</f>
        <v>392382.67000000004</v>
      </c>
      <c r="Y7" s="267" t="s">
        <v>434</v>
      </c>
      <c r="AA7" s="267" t="s">
        <v>436</v>
      </c>
      <c r="AB7" s="61">
        <f>SUMIF($Y$2:$Y$30,$AA7,$V$2:$V$30)</f>
        <v>1382415.28</v>
      </c>
      <c r="AC7" s="61">
        <f>SUMIF($Y$2:$Y$30,$AA7,$W$2:$W$30)</f>
        <v>92750</v>
      </c>
      <c r="AD7" s="61">
        <f>SUMIF($Y$2:$Y$30,$AA7,$X$2:$X$30)</f>
        <v>1198456.6800000002</v>
      </c>
      <c r="AE7" s="61">
        <f>SUMIFS(TablaGastos[Pendiente],TablaGastos[Mes],$AA7)</f>
        <v>543865.20000000007</v>
      </c>
      <c r="AF7" s="61">
        <f>AB7-AC7-AD7</f>
        <v>91208.59999999986</v>
      </c>
      <c r="AH7" t="str">
        <f>AA7</f>
        <v>6-Abr</v>
      </c>
      <c r="AI7" s="61">
        <f>AD7</f>
        <v>1198456.6800000002</v>
      </c>
      <c r="AJ7" s="61">
        <f>AE7</f>
        <v>543865.20000000007</v>
      </c>
      <c r="AL7" t="s">
        <v>440</v>
      </c>
      <c r="AM7" s="61">
        <v>29668.1</v>
      </c>
      <c r="AN7" s="61">
        <v>0</v>
      </c>
      <c r="AO7" s="61"/>
      <c r="AP7" s="61">
        <v>614677.14</v>
      </c>
      <c r="AQ7" s="61">
        <v>132560.41</v>
      </c>
      <c r="AR7" s="61"/>
      <c r="AS7" s="61">
        <v>32961.383999999998</v>
      </c>
      <c r="AT7" s="61">
        <v>809867.03399999999</v>
      </c>
    </row>
    <row r="8" spans="1:46" x14ac:dyDescent="0.3">
      <c r="A8" t="s">
        <v>385</v>
      </c>
      <c r="B8" s="61">
        <v>594544.75</v>
      </c>
      <c r="C8" s="61">
        <v>119136.08</v>
      </c>
      <c r="F8" t="s">
        <v>421</v>
      </c>
      <c r="G8" s="61">
        <v>267089.41800000001</v>
      </c>
      <c r="J8" t="s">
        <v>210</v>
      </c>
      <c r="K8" s="61">
        <v>50000</v>
      </c>
      <c r="N8" t="str">
        <v>OMAR GUERRERO</v>
      </c>
      <c r="O8" s="61">
        <v>185800</v>
      </c>
      <c r="R8" t="str">
        <v>LAR/Otros</v>
      </c>
      <c r="S8" s="61">
        <v>2729</v>
      </c>
      <c r="U8" t="s">
        <v>351</v>
      </c>
      <c r="V8" s="61">
        <f>'21-27 Dic'!H11</f>
        <v>595026.80000000005</v>
      </c>
      <c r="W8" s="61">
        <v>0</v>
      </c>
      <c r="X8" s="61">
        <f>SUMIFS(TablaGastos[Pago],TablaGastos[Semana],U8)</f>
        <v>594544.75</v>
      </c>
      <c r="Y8" s="267" t="s">
        <v>434</v>
      </c>
      <c r="AA8" s="267" t="s">
        <v>441</v>
      </c>
      <c r="AB8" s="61">
        <f>SUMIF($Y$2:$Y$30,$AA8,$V$2:$V$30)</f>
        <v>1064879.8</v>
      </c>
      <c r="AC8" s="61">
        <f>SUMIF($Y$2:$Y$30,$AA8,$W$2:$W$30)</f>
        <v>82050</v>
      </c>
      <c r="AD8" s="61">
        <f>SUMIF($Y$2:$Y$30,$AA8,$X$2:$X$30)</f>
        <v>1037132.084</v>
      </c>
      <c r="AE8" s="61">
        <f>SUMIFS(TablaGastos[Pendiente],TablaGastos[Mes],$AA8)</f>
        <v>1019588.42</v>
      </c>
      <c r="AF8" s="61">
        <f>AB8-AC8-AD8</f>
        <v>-54302.283999999985</v>
      </c>
      <c r="AH8" t="str">
        <f>AA8</f>
        <v>7-May</v>
      </c>
      <c r="AI8" s="61">
        <f>AD8</f>
        <v>1037132.084</v>
      </c>
      <c r="AJ8" s="61">
        <f>AE8</f>
        <v>1019588.42</v>
      </c>
      <c r="AL8" t="s">
        <v>436</v>
      </c>
      <c r="AM8" s="61">
        <v>227823.72999999998</v>
      </c>
      <c r="AN8" s="61">
        <v>63929.130000000005</v>
      </c>
      <c r="AO8" s="61"/>
      <c r="AP8" s="61">
        <v>811856.43</v>
      </c>
      <c r="AQ8" s="61">
        <v>9159.56</v>
      </c>
      <c r="AR8" s="61">
        <v>18768</v>
      </c>
      <c r="AS8" s="61">
        <v>66919.829999999987</v>
      </c>
      <c r="AT8" s="61">
        <v>1198456.6800000002</v>
      </c>
    </row>
    <row r="9" spans="1:46" x14ac:dyDescent="0.3">
      <c r="A9" t="s">
        <v>386</v>
      </c>
      <c r="B9" s="61">
        <v>170659.6</v>
      </c>
      <c r="C9" s="61">
        <v>96136.08</v>
      </c>
      <c r="F9" t="s">
        <v>408</v>
      </c>
      <c r="G9" s="61">
        <v>7051503.5979999993</v>
      </c>
      <c r="J9" t="s">
        <v>112</v>
      </c>
      <c r="K9" s="61">
        <v>260435</v>
      </c>
      <c r="N9" t="str">
        <v>ALEX Y RAFA</v>
      </c>
      <c r="O9" s="61">
        <v>184999.8</v>
      </c>
      <c r="S9" s="61"/>
      <c r="U9" t="s">
        <v>352</v>
      </c>
      <c r="V9" s="61">
        <f>'29 Dic 03 Ene'!H11</f>
        <v>198000</v>
      </c>
      <c r="W9" s="61">
        <v>0</v>
      </c>
      <c r="X9" s="61">
        <f>SUMIFS(TablaGastos[Pago],TablaGastos[Semana],U9)</f>
        <v>170659.6</v>
      </c>
      <c r="Y9" s="267" t="s">
        <v>434</v>
      </c>
      <c r="AL9" t="s">
        <v>441</v>
      </c>
      <c r="AM9" s="61">
        <v>215479.03</v>
      </c>
      <c r="AN9" s="61">
        <v>65367.8</v>
      </c>
      <c r="AO9" s="61">
        <v>2729</v>
      </c>
      <c r="AP9" s="61">
        <v>673111.09</v>
      </c>
      <c r="AQ9" s="61">
        <v>18269</v>
      </c>
      <c r="AR9" s="61"/>
      <c r="AS9" s="61">
        <v>62176.163999999997</v>
      </c>
      <c r="AT9" s="61">
        <v>1037132.0839999999</v>
      </c>
    </row>
    <row r="10" spans="1:46" x14ac:dyDescent="0.3">
      <c r="A10" t="s">
        <v>387</v>
      </c>
      <c r="B10" s="61">
        <v>171923.65000000002</v>
      </c>
      <c r="C10" s="61">
        <v>121136.08</v>
      </c>
      <c r="G10" s="61"/>
      <c r="J10" t="s">
        <v>105</v>
      </c>
      <c r="K10" s="61">
        <v>280000</v>
      </c>
      <c r="N10" t="str">
        <v>PATAGONIA CAJA CARTON y 30 lbs</v>
      </c>
      <c r="O10" s="61">
        <v>153554.99999999997</v>
      </c>
      <c r="S10" s="61"/>
      <c r="U10" t="s">
        <v>353</v>
      </c>
      <c r="V10" s="61">
        <f>'05 10 Ene'!H11</f>
        <v>221544.8</v>
      </c>
      <c r="W10" s="61">
        <v>0</v>
      </c>
      <c r="X10" s="61">
        <f>SUMIFS(TablaGastos[Pago],TablaGastos[Semana],U10)</f>
        <v>171923.65000000002</v>
      </c>
      <c r="Y10" s="267" t="s">
        <v>435</v>
      </c>
      <c r="AL10" t="s">
        <v>408</v>
      </c>
      <c r="AM10" s="61">
        <v>742050.47</v>
      </c>
      <c r="AN10" s="61">
        <v>186766.93</v>
      </c>
      <c r="AO10" s="61">
        <v>2729</v>
      </c>
      <c r="AP10" s="61">
        <v>4909233.7</v>
      </c>
      <c r="AQ10" s="61">
        <v>837866.08000000007</v>
      </c>
      <c r="AR10" s="61">
        <v>105768</v>
      </c>
      <c r="AS10" s="61">
        <v>267089.41800000001</v>
      </c>
      <c r="AT10" s="61">
        <v>7051503.5980000002</v>
      </c>
    </row>
    <row r="11" spans="1:46" x14ac:dyDescent="0.3">
      <c r="A11" t="s">
        <v>388</v>
      </c>
      <c r="B11" s="61">
        <v>83200</v>
      </c>
      <c r="C11" s="61">
        <v>298963.54000000004</v>
      </c>
      <c r="J11" t="s">
        <v>109</v>
      </c>
      <c r="K11" s="61">
        <v>83200</v>
      </c>
      <c r="N11" t="str">
        <v>Honorarios contador</v>
      </c>
      <c r="O11" s="61">
        <v>146100.81799999997</v>
      </c>
      <c r="S11" s="61"/>
      <c r="U11" t="s">
        <v>354</v>
      </c>
      <c r="V11" s="61">
        <f>'11 17 Ene'!H11</f>
        <v>299468.27999999997</v>
      </c>
      <c r="W11" s="61">
        <v>0</v>
      </c>
      <c r="X11" s="61">
        <f>SUMIFS(TablaGastos[Pago],TablaGastos[Semana],U11)</f>
        <v>83200</v>
      </c>
      <c r="Y11" s="267" t="s">
        <v>435</v>
      </c>
    </row>
    <row r="12" spans="1:46" x14ac:dyDescent="0.3">
      <c r="A12" t="s">
        <v>389</v>
      </c>
      <c r="B12" s="61">
        <v>147580.56</v>
      </c>
      <c r="C12" s="61">
        <v>96247.8</v>
      </c>
      <c r="J12" t="s">
        <v>182</v>
      </c>
      <c r="K12" s="61">
        <v>11000</v>
      </c>
      <c r="N12" t="str">
        <v>CAJA CARTON (PATAGONIA) 20 y 30 lbs</v>
      </c>
      <c r="O12" s="61">
        <v>127147.6</v>
      </c>
      <c r="S12" s="61"/>
      <c r="U12" t="s">
        <v>356</v>
      </c>
      <c r="V12" s="61">
        <f>'19 24 Ene'!H11</f>
        <v>165824</v>
      </c>
      <c r="W12" s="61">
        <v>0</v>
      </c>
      <c r="X12" s="61">
        <f>SUMIFS(TablaGastos[Pago],TablaGastos[Semana],U12)</f>
        <v>147580.56</v>
      </c>
      <c r="Y12" s="267" t="s">
        <v>435</v>
      </c>
    </row>
    <row r="13" spans="1:46" x14ac:dyDescent="0.3">
      <c r="A13" t="s">
        <v>390</v>
      </c>
      <c r="B13" s="61">
        <v>202978</v>
      </c>
      <c r="C13" s="61">
        <v>266885.8</v>
      </c>
      <c r="J13" t="s">
        <v>289</v>
      </c>
      <c r="K13" s="61">
        <v>4674</v>
      </c>
      <c r="N13" t="str">
        <v>CAJA RUTH GDL</v>
      </c>
      <c r="O13" s="61">
        <v>97328.91</v>
      </c>
      <c r="U13" t="s">
        <v>357</v>
      </c>
      <c r="V13" s="61">
        <f>'26 31 Ene'!H11</f>
        <v>321376</v>
      </c>
      <c r="W13" s="61">
        <v>0</v>
      </c>
      <c r="X13" s="61">
        <f>SUMIFS(TablaGastos[Pago],TablaGastos[Semana],U13)</f>
        <v>202978</v>
      </c>
      <c r="Y13" s="267" t="s">
        <v>435</v>
      </c>
    </row>
    <row r="14" spans="1:46" x14ac:dyDescent="0.3">
      <c r="A14" t="s">
        <v>391</v>
      </c>
      <c r="B14" s="61">
        <v>228558</v>
      </c>
      <c r="C14" s="61">
        <v>208253.8</v>
      </c>
      <c r="J14" t="s">
        <v>144</v>
      </c>
      <c r="K14" s="61">
        <v>0</v>
      </c>
      <c r="U14" t="s">
        <v>358</v>
      </c>
      <c r="V14" s="61">
        <f>'01 07 Feb'!H11</f>
        <v>249424</v>
      </c>
      <c r="W14" s="61">
        <v>0</v>
      </c>
      <c r="X14" s="61">
        <f>SUMIFS(TablaGastos[Pago],TablaGastos[Semana],U14)</f>
        <v>228558</v>
      </c>
      <c r="Y14" s="267" t="s">
        <v>439</v>
      </c>
    </row>
    <row r="15" spans="1:46" x14ac:dyDescent="0.3">
      <c r="A15" t="s">
        <v>392</v>
      </c>
      <c r="B15" s="61">
        <v>210551.15000000002</v>
      </c>
      <c r="C15" s="61">
        <v>238665.44</v>
      </c>
      <c r="J15" t="s">
        <v>160</v>
      </c>
      <c r="K15" s="61">
        <v>32500</v>
      </c>
      <c r="U15" t="s">
        <v>359</v>
      </c>
      <c r="V15" s="61">
        <f>'09 14 Feb'!H11</f>
        <v>300680</v>
      </c>
      <c r="W15" s="61">
        <v>0</v>
      </c>
      <c r="X15" s="61">
        <f>SUMIFS(TablaGastos[Pago],TablaGastos[Semana],U15)</f>
        <v>210551.15000000002</v>
      </c>
      <c r="Y15" s="267" t="s">
        <v>439</v>
      </c>
    </row>
    <row r="16" spans="1:46" x14ac:dyDescent="0.3">
      <c r="A16" t="s">
        <v>393</v>
      </c>
      <c r="B16" s="61">
        <v>205337.81999999998</v>
      </c>
      <c r="C16" s="61">
        <v>376773.8</v>
      </c>
      <c r="J16" t="s">
        <v>86</v>
      </c>
      <c r="K16" s="61">
        <v>8000</v>
      </c>
      <c r="U16" t="s">
        <v>360</v>
      </c>
      <c r="V16" s="61">
        <f>'16 21 Feb'!H11</f>
        <v>437300</v>
      </c>
      <c r="W16" s="61">
        <v>0</v>
      </c>
      <c r="X16" s="61">
        <f>SUMIFS(TablaGastos[Pago],TablaGastos[Semana],U16)</f>
        <v>205337.81999999998</v>
      </c>
      <c r="Y16" s="267" t="s">
        <v>439</v>
      </c>
    </row>
    <row r="17" spans="1:25" x14ac:dyDescent="0.3">
      <c r="A17" t="s">
        <v>394</v>
      </c>
      <c r="B17" s="61">
        <v>200467.6</v>
      </c>
      <c r="C17" s="61">
        <v>103500</v>
      </c>
      <c r="J17" t="s">
        <v>104</v>
      </c>
      <c r="K17" s="61">
        <v>62709.599999999999</v>
      </c>
      <c r="U17" t="s">
        <v>361</v>
      </c>
      <c r="V17" s="61">
        <f>'23 28 Feb'!I11</f>
        <v>227100</v>
      </c>
      <c r="W17" s="61">
        <v>0</v>
      </c>
      <c r="X17" s="61">
        <f>SUMIFS(TablaGastos[Pago],TablaGastos[Semana],U17)</f>
        <v>200467.6</v>
      </c>
      <c r="Y17" s="267" t="s">
        <v>439</v>
      </c>
    </row>
    <row r="18" spans="1:25" x14ac:dyDescent="0.3">
      <c r="A18" t="s">
        <v>395</v>
      </c>
      <c r="B18" s="61">
        <v>205104.2</v>
      </c>
      <c r="C18" s="61">
        <v>244546.16999999998</v>
      </c>
      <c r="J18" t="s">
        <v>161</v>
      </c>
      <c r="K18" s="61">
        <v>127147.6</v>
      </c>
      <c r="U18" t="s">
        <v>362</v>
      </c>
      <c r="V18" s="61">
        <f>'02 07 Mar'!I11</f>
        <v>328790</v>
      </c>
      <c r="W18" s="61">
        <v>0</v>
      </c>
      <c r="X18" s="61">
        <f>SUMIFS(TablaGastos[Pago],TablaGastos[Semana],U18)</f>
        <v>205104.2</v>
      </c>
      <c r="Y18" s="267" t="s">
        <v>440</v>
      </c>
    </row>
    <row r="19" spans="1:25" x14ac:dyDescent="0.3">
      <c r="A19" t="s">
        <v>396</v>
      </c>
      <c r="B19" s="61">
        <v>187131.924</v>
      </c>
      <c r="C19" s="61">
        <v>122064.87</v>
      </c>
      <c r="J19" t="s">
        <v>151</v>
      </c>
      <c r="K19" s="61">
        <v>0</v>
      </c>
      <c r="U19" t="s">
        <v>364</v>
      </c>
      <c r="V19" s="61">
        <f>'09-14 Mar'!I11</f>
        <v>328790</v>
      </c>
      <c r="W19" s="61">
        <f>'09-14 Mar'!I23</f>
        <v>22000</v>
      </c>
      <c r="X19" s="61">
        <f>SUMIFS(TablaGastos[Pago],TablaGastos[Semana],U19)</f>
        <v>187131.924</v>
      </c>
      <c r="Y19" s="267" t="s">
        <v>440</v>
      </c>
    </row>
    <row r="20" spans="1:25" x14ac:dyDescent="0.3">
      <c r="A20" t="s">
        <v>397</v>
      </c>
      <c r="B20" s="61">
        <v>66360.100000000006</v>
      </c>
      <c r="C20" s="61">
        <v>266109.90000000002</v>
      </c>
      <c r="J20" t="s">
        <v>152</v>
      </c>
      <c r="K20" s="61">
        <v>0</v>
      </c>
      <c r="U20" t="s">
        <v>365</v>
      </c>
      <c r="V20" s="61">
        <f>'16 21 Mar'!I11</f>
        <v>328790</v>
      </c>
      <c r="W20" s="61">
        <f>'16 21 Mar'!I25</f>
        <v>18950</v>
      </c>
      <c r="X20" s="61">
        <f>SUMIFS(TablaGastos[Pago],TablaGastos[Semana],U20)</f>
        <v>66360.100000000006</v>
      </c>
      <c r="Y20" s="267" t="s">
        <v>440</v>
      </c>
    </row>
    <row r="21" spans="1:25" x14ac:dyDescent="0.3">
      <c r="A21" t="s">
        <v>398</v>
      </c>
      <c r="B21" s="61">
        <v>203156.91</v>
      </c>
      <c r="C21" s="61">
        <v>113892.4</v>
      </c>
      <c r="J21" t="s">
        <v>155</v>
      </c>
      <c r="K21" s="61">
        <v>16800</v>
      </c>
      <c r="U21" t="s">
        <v>366</v>
      </c>
      <c r="V21" s="61">
        <f>'23 28 Mar'!I11</f>
        <v>203456</v>
      </c>
      <c r="W21" s="61">
        <f>'23 28 Mar'!I25</f>
        <v>16950</v>
      </c>
      <c r="X21" s="61">
        <f>SUMIFS(TablaGastos[Pago],TablaGastos[Semana],U21)</f>
        <v>203156.91</v>
      </c>
      <c r="Y21" s="267" t="s">
        <v>440</v>
      </c>
    </row>
    <row r="22" spans="1:25" x14ac:dyDescent="0.3">
      <c r="A22" t="s">
        <v>399</v>
      </c>
      <c r="B22" s="61">
        <v>148113.9</v>
      </c>
      <c r="C22" s="61">
        <v>153892.4</v>
      </c>
      <c r="J22" t="s">
        <v>170</v>
      </c>
      <c r="K22" s="61">
        <v>97328.91</v>
      </c>
      <c r="U22" t="s">
        <v>367</v>
      </c>
      <c r="V22" s="61">
        <f>'30 Mar 04 Abril'!I11</f>
        <v>132880</v>
      </c>
      <c r="W22" s="61">
        <f>'30 Mar 04 Abril'!I23</f>
        <v>17950</v>
      </c>
      <c r="X22" s="61">
        <f>SUMIFS(TablaGastos[Pago],TablaGastos[Semana],U22)</f>
        <v>148113.9</v>
      </c>
      <c r="Y22" s="267" t="s">
        <v>440</v>
      </c>
    </row>
    <row r="23" spans="1:25" x14ac:dyDescent="0.3">
      <c r="A23" t="s">
        <v>400</v>
      </c>
      <c r="B23" s="61">
        <v>132365.91999999998</v>
      </c>
      <c r="C23" s="61">
        <v>153892.4</v>
      </c>
      <c r="J23" t="s">
        <v>222</v>
      </c>
      <c r="K23" s="61">
        <v>61642.400000000001</v>
      </c>
      <c r="U23" t="s">
        <v>368</v>
      </c>
      <c r="V23" s="61">
        <f>'06 11 Abril'!I11</f>
        <v>199760</v>
      </c>
      <c r="W23" s="61">
        <f>'06 11 Abril'!I23</f>
        <v>21950</v>
      </c>
      <c r="X23" s="61">
        <f>SUMIFS(TablaGastos[Pago],TablaGastos[Semana],U23)</f>
        <v>132365.91999999998</v>
      </c>
      <c r="Y23" s="267" t="s">
        <v>436</v>
      </c>
    </row>
    <row r="24" spans="1:25" x14ac:dyDescent="0.3">
      <c r="A24" t="s">
        <v>401</v>
      </c>
      <c r="B24" s="61">
        <v>210849.13</v>
      </c>
      <c r="C24" s="61">
        <v>281703.18</v>
      </c>
      <c r="J24" t="s">
        <v>300</v>
      </c>
      <c r="K24" s="61">
        <v>1044</v>
      </c>
      <c r="U24" t="s">
        <v>369</v>
      </c>
      <c r="V24" s="61">
        <f>'13 18 Abril'!I12</f>
        <v>323806.08000000002</v>
      </c>
      <c r="W24" s="61">
        <f>'13 18 Abril'!I24</f>
        <v>20000</v>
      </c>
      <c r="X24" s="61">
        <f>SUMIFS(TablaGastos[Pago],TablaGastos[Semana],U24)</f>
        <v>210849.13</v>
      </c>
      <c r="Y24" s="267" t="s">
        <v>436</v>
      </c>
    </row>
    <row r="25" spans="1:25" x14ac:dyDescent="0.3">
      <c r="A25" t="s">
        <v>402</v>
      </c>
      <c r="B25" s="61">
        <v>541297.31000000006</v>
      </c>
      <c r="C25" s="61">
        <v>55669.42</v>
      </c>
      <c r="J25" t="s">
        <v>52</v>
      </c>
      <c r="K25" s="61">
        <v>8120</v>
      </c>
      <c r="U25" t="s">
        <v>370</v>
      </c>
      <c r="V25" s="61">
        <f>'20 25 Abril'!J12</f>
        <v>524873.19999999995</v>
      </c>
      <c r="W25" s="61">
        <f>'20 25 Abril'!J24</f>
        <v>31050</v>
      </c>
      <c r="X25" s="61">
        <f>SUMIFS(TablaGastos[Pago],TablaGastos[Semana],U25)</f>
        <v>541297.31000000006</v>
      </c>
      <c r="Y25" s="267" t="s">
        <v>436</v>
      </c>
    </row>
    <row r="26" spans="1:25" x14ac:dyDescent="0.3">
      <c r="A26" t="s">
        <v>403</v>
      </c>
      <c r="B26" s="61">
        <v>313944.32000000001</v>
      </c>
      <c r="C26" s="61">
        <v>52600.2</v>
      </c>
      <c r="J26" t="s">
        <v>221</v>
      </c>
      <c r="K26" s="61">
        <v>0</v>
      </c>
      <c r="U26" t="s">
        <v>371</v>
      </c>
      <c r="V26" s="61">
        <f>'27 Abril 02 Mayo'!I13</f>
        <v>333976</v>
      </c>
      <c r="W26" s="61">
        <f>'27 Abril 02 Mayo'!I24</f>
        <v>19750</v>
      </c>
      <c r="X26" s="61">
        <f>SUMIFS(TablaGastos[Pago],TablaGastos[Semana],U26)</f>
        <v>313944.32000000001</v>
      </c>
      <c r="Y26" s="267" t="s">
        <v>436</v>
      </c>
    </row>
    <row r="27" spans="1:25" x14ac:dyDescent="0.3">
      <c r="A27" t="s">
        <v>404</v>
      </c>
      <c r="B27" s="61">
        <v>180013.84000000003</v>
      </c>
      <c r="C27" s="61">
        <v>112478.90000000001</v>
      </c>
      <c r="J27" t="s">
        <v>7</v>
      </c>
      <c r="K27" s="61">
        <v>23748</v>
      </c>
      <c r="U27" t="s">
        <v>372</v>
      </c>
      <c r="V27" s="61">
        <f>'04 09 Mayo'!I13</f>
        <v>193267.8</v>
      </c>
      <c r="W27" s="61">
        <f>'04 09 Mayo'!I25</f>
        <v>18850</v>
      </c>
      <c r="X27" s="61">
        <f>SUMIFS(TablaGastos[Pago],TablaGastos[Semana],U27)</f>
        <v>180013.84000000003</v>
      </c>
      <c r="Y27" s="267" t="s">
        <v>441</v>
      </c>
    </row>
    <row r="28" spans="1:25" x14ac:dyDescent="0.3">
      <c r="A28" t="s">
        <v>405</v>
      </c>
      <c r="B28" s="61">
        <v>355975.31800000003</v>
      </c>
      <c r="C28" s="61">
        <v>311948.59000000003</v>
      </c>
      <c r="J28" t="s">
        <v>317</v>
      </c>
      <c r="K28" s="61">
        <v>0</v>
      </c>
      <c r="U28" t="s">
        <v>373</v>
      </c>
      <c r="V28" s="61">
        <f>'11 16 Mayo'!H13</f>
        <v>353464</v>
      </c>
      <c r="W28" s="61">
        <f>'11 16 Mayo'!H26</f>
        <v>19450</v>
      </c>
      <c r="X28" s="61">
        <f>SUMIFS(TablaGastos[Pago],TablaGastos[Semana],U28)</f>
        <v>355975.31800000003</v>
      </c>
      <c r="Y28" s="267" t="s">
        <v>441</v>
      </c>
    </row>
    <row r="29" spans="1:25" x14ac:dyDescent="0.3">
      <c r="A29" t="s">
        <v>406</v>
      </c>
      <c r="B29" s="61">
        <v>186422.016</v>
      </c>
      <c r="C29" s="61">
        <v>331571.09000000008</v>
      </c>
      <c r="J29" t="s">
        <v>214</v>
      </c>
      <c r="K29" s="61">
        <v>7590.0300000000007</v>
      </c>
      <c r="U29" t="s">
        <v>374</v>
      </c>
      <c r="V29" s="61">
        <f>'18 23 Mayo'!I13</f>
        <v>206448</v>
      </c>
      <c r="W29" s="61">
        <f>'18 23 Mayo'!I26</f>
        <v>23500</v>
      </c>
      <c r="X29" s="61">
        <f>SUMIFS(TablaGastos[Pago],TablaGastos[Semana],U29)</f>
        <v>186422.016</v>
      </c>
      <c r="Y29" s="267" t="s">
        <v>441</v>
      </c>
    </row>
    <row r="30" spans="1:25" x14ac:dyDescent="0.3">
      <c r="A30" t="s">
        <v>407</v>
      </c>
      <c r="B30" s="61">
        <v>314720.90999999997</v>
      </c>
      <c r="C30" s="61">
        <v>263589.83999999997</v>
      </c>
      <c r="J30" t="s">
        <v>133</v>
      </c>
      <c r="K30" s="61">
        <v>3981.94</v>
      </c>
      <c r="U30" t="s">
        <v>375</v>
      </c>
      <c r="V30" s="61">
        <f>'25 30 Mayo'!J13</f>
        <v>311700</v>
      </c>
      <c r="W30" s="61">
        <f>'25 30 Mayo'!J27</f>
        <v>20250</v>
      </c>
      <c r="X30" s="61">
        <f>SUMIFS(TablaGastos[Pago],TablaGastos[Semana],U30)</f>
        <v>314720.90999999997</v>
      </c>
      <c r="Y30" s="267" t="s">
        <v>441</v>
      </c>
    </row>
    <row r="31" spans="1:25" x14ac:dyDescent="0.3">
      <c r="A31" t="s">
        <v>408</v>
      </c>
      <c r="B31" s="61">
        <v>7051503.5980000002</v>
      </c>
      <c r="C31" s="61">
        <v>5246593.88</v>
      </c>
      <c r="J31" t="s">
        <v>280</v>
      </c>
      <c r="K31" s="61">
        <v>4172.1099999999997</v>
      </c>
      <c r="U31" s="2" t="s">
        <v>426</v>
      </c>
      <c r="V31" s="120">
        <f>SUM(V2:V30)</f>
        <v>8487715.7599999998</v>
      </c>
      <c r="W31" s="120">
        <f>SUM(W2:W30)</f>
        <v>306450</v>
      </c>
      <c r="X31" s="120">
        <f>SUM(X2:X30)</f>
        <v>7051503.5980000002</v>
      </c>
    </row>
    <row r="32" spans="1:25" x14ac:dyDescent="0.3">
      <c r="B32" s="61"/>
      <c r="C32" s="61"/>
      <c r="J32" t="s">
        <v>207</v>
      </c>
      <c r="K32" s="61">
        <v>7499</v>
      </c>
    </row>
    <row r="33" spans="10:11" x14ac:dyDescent="0.3">
      <c r="J33" t="s">
        <v>81</v>
      </c>
      <c r="K33" s="61">
        <v>10000</v>
      </c>
    </row>
    <row r="34" spans="10:11" x14ac:dyDescent="0.3">
      <c r="J34" t="s">
        <v>54</v>
      </c>
      <c r="K34" s="61">
        <v>0</v>
      </c>
    </row>
    <row r="35" spans="10:11" x14ac:dyDescent="0.3">
      <c r="J35" t="s">
        <v>116</v>
      </c>
      <c r="K35" s="61">
        <v>2000</v>
      </c>
    </row>
    <row r="36" spans="10:11" x14ac:dyDescent="0.3">
      <c r="J36" t="s">
        <v>115</v>
      </c>
      <c r="K36" s="61">
        <v>9280</v>
      </c>
    </row>
    <row r="37" spans="10:11" x14ac:dyDescent="0.3">
      <c r="J37" t="s">
        <v>225</v>
      </c>
      <c r="K37" s="61">
        <v>0</v>
      </c>
    </row>
    <row r="38" spans="10:11" x14ac:dyDescent="0.3">
      <c r="J38" t="s">
        <v>55</v>
      </c>
      <c r="K38" s="61">
        <v>95700</v>
      </c>
    </row>
    <row r="39" spans="10:11" x14ac:dyDescent="0.3">
      <c r="J39" t="s">
        <v>147</v>
      </c>
      <c r="K39" s="61">
        <v>0</v>
      </c>
    </row>
    <row r="40" spans="10:11" x14ac:dyDescent="0.3">
      <c r="J40" t="s">
        <v>38</v>
      </c>
      <c r="K40" s="61">
        <v>35904.6</v>
      </c>
    </row>
    <row r="41" spans="10:11" x14ac:dyDescent="0.3">
      <c r="J41" t="s">
        <v>302</v>
      </c>
      <c r="K41" s="61">
        <v>0</v>
      </c>
    </row>
    <row r="42" spans="10:11" x14ac:dyDescent="0.3">
      <c r="J42" t="s">
        <v>134</v>
      </c>
      <c r="K42" s="61">
        <v>3483.27</v>
      </c>
    </row>
    <row r="43" spans="10:11" x14ac:dyDescent="0.3">
      <c r="J43" t="s">
        <v>175</v>
      </c>
      <c r="K43" s="61">
        <v>14344.469999999998</v>
      </c>
    </row>
    <row r="44" spans="10:11" x14ac:dyDescent="0.3">
      <c r="J44" t="s">
        <v>283</v>
      </c>
      <c r="K44" s="61">
        <v>7508.23</v>
      </c>
    </row>
    <row r="45" spans="10:11" x14ac:dyDescent="0.3">
      <c r="J45" t="s">
        <v>31</v>
      </c>
      <c r="K45" s="61">
        <v>0</v>
      </c>
    </row>
    <row r="46" spans="10:11" x14ac:dyDescent="0.3">
      <c r="J46" t="s">
        <v>73</v>
      </c>
      <c r="K46" s="61">
        <v>14856.45</v>
      </c>
    </row>
    <row r="47" spans="10:11" x14ac:dyDescent="0.3">
      <c r="J47" t="s">
        <v>254</v>
      </c>
      <c r="K47" s="61">
        <v>13888.98</v>
      </c>
    </row>
    <row r="48" spans="10:11" x14ac:dyDescent="0.3">
      <c r="J48" t="s">
        <v>318</v>
      </c>
      <c r="K48" s="61">
        <v>1783</v>
      </c>
    </row>
    <row r="49" spans="10:11" x14ac:dyDescent="0.3">
      <c r="J49" t="s">
        <v>308</v>
      </c>
      <c r="K49" s="61">
        <v>7192</v>
      </c>
    </row>
    <row r="50" spans="10:11" x14ac:dyDescent="0.3">
      <c r="J50" t="s">
        <v>307</v>
      </c>
      <c r="K50" s="61">
        <v>7134</v>
      </c>
    </row>
    <row r="51" spans="10:11" x14ac:dyDescent="0.3">
      <c r="J51" t="s">
        <v>253</v>
      </c>
      <c r="K51" s="61">
        <v>10788</v>
      </c>
    </row>
    <row r="52" spans="10:11" x14ac:dyDescent="0.3">
      <c r="J52" t="s">
        <v>188</v>
      </c>
      <c r="K52" s="61">
        <v>14803.62</v>
      </c>
    </row>
    <row r="53" spans="10:11" x14ac:dyDescent="0.3">
      <c r="J53" t="s">
        <v>363</v>
      </c>
      <c r="K53" s="61">
        <v>2868</v>
      </c>
    </row>
    <row r="54" spans="10:11" x14ac:dyDescent="0.3">
      <c r="J54" t="s">
        <v>108</v>
      </c>
      <c r="K54" s="61">
        <v>3648.39</v>
      </c>
    </row>
    <row r="55" spans="10:11" x14ac:dyDescent="0.3">
      <c r="J55" t="s">
        <v>259</v>
      </c>
      <c r="K55" s="61">
        <v>600</v>
      </c>
    </row>
    <row r="56" spans="10:11" x14ac:dyDescent="0.3">
      <c r="J56" t="s">
        <v>190</v>
      </c>
      <c r="K56" s="61">
        <v>8120</v>
      </c>
    </row>
    <row r="57" spans="10:11" x14ac:dyDescent="0.3">
      <c r="J57" t="s">
        <v>137</v>
      </c>
      <c r="K57" s="61">
        <v>0</v>
      </c>
    </row>
    <row r="58" spans="10:11" x14ac:dyDescent="0.3">
      <c r="J58" t="s">
        <v>159</v>
      </c>
      <c r="K58" s="61">
        <v>0</v>
      </c>
    </row>
    <row r="59" spans="10:11" x14ac:dyDescent="0.3">
      <c r="J59" t="s">
        <v>219</v>
      </c>
      <c r="K59" s="61">
        <v>14500</v>
      </c>
    </row>
    <row r="60" spans="10:11" x14ac:dyDescent="0.3">
      <c r="J60" t="s">
        <v>114</v>
      </c>
      <c r="K60" s="61">
        <v>50000</v>
      </c>
    </row>
    <row r="61" spans="10:11" x14ac:dyDescent="0.3">
      <c r="J61" t="s">
        <v>107</v>
      </c>
      <c r="K61" s="61">
        <v>146100.81799999997</v>
      </c>
    </row>
    <row r="62" spans="10:11" x14ac:dyDescent="0.3">
      <c r="J62" t="s">
        <v>264</v>
      </c>
      <c r="K62" s="61">
        <v>2900</v>
      </c>
    </row>
    <row r="63" spans="10:11" x14ac:dyDescent="0.3">
      <c r="J63" t="s">
        <v>316</v>
      </c>
      <c r="K63" s="61">
        <v>13428</v>
      </c>
    </row>
    <row r="64" spans="10:11" x14ac:dyDescent="0.3">
      <c r="J64" t="s">
        <v>290</v>
      </c>
      <c r="K64" s="61">
        <v>10801</v>
      </c>
    </row>
    <row r="65" spans="10:11" x14ac:dyDescent="0.3">
      <c r="J65" t="s">
        <v>149</v>
      </c>
      <c r="K65" s="61">
        <v>0</v>
      </c>
    </row>
    <row r="66" spans="10:11" x14ac:dyDescent="0.3">
      <c r="J66" t="s">
        <v>1</v>
      </c>
      <c r="K66" s="61">
        <v>30000</v>
      </c>
    </row>
    <row r="67" spans="10:11" x14ac:dyDescent="0.3">
      <c r="J67" t="s">
        <v>260</v>
      </c>
      <c r="K67" s="61">
        <v>10000</v>
      </c>
    </row>
    <row r="68" spans="10:11" x14ac:dyDescent="0.3">
      <c r="J68" t="s">
        <v>11</v>
      </c>
      <c r="K68" s="61">
        <v>69106.42</v>
      </c>
    </row>
    <row r="69" spans="10:11" x14ac:dyDescent="0.3">
      <c r="J69" t="s">
        <v>223</v>
      </c>
      <c r="K69" s="61">
        <v>24361.510000000002</v>
      </c>
    </row>
    <row r="70" spans="10:11" x14ac:dyDescent="0.3">
      <c r="J70" t="s">
        <v>53</v>
      </c>
      <c r="K70" s="61">
        <v>27000</v>
      </c>
    </row>
    <row r="71" spans="10:11" x14ac:dyDescent="0.3">
      <c r="J71" t="s">
        <v>319</v>
      </c>
      <c r="K71" s="61">
        <v>20000</v>
      </c>
    </row>
    <row r="72" spans="10:11" x14ac:dyDescent="0.3">
      <c r="J72" t="s">
        <v>194</v>
      </c>
      <c r="K72" s="61">
        <v>46110</v>
      </c>
    </row>
    <row r="73" spans="10:11" x14ac:dyDescent="0.3">
      <c r="J73" t="s">
        <v>51</v>
      </c>
      <c r="K73" s="61">
        <v>43702.97</v>
      </c>
    </row>
    <row r="74" spans="10:11" x14ac:dyDescent="0.3">
      <c r="J74" t="s">
        <v>311</v>
      </c>
      <c r="K74" s="61">
        <v>2729</v>
      </c>
    </row>
    <row r="75" spans="10:11" x14ac:dyDescent="0.3">
      <c r="J75" t="s">
        <v>39</v>
      </c>
      <c r="K75" s="61">
        <v>12006</v>
      </c>
    </row>
    <row r="76" spans="10:11" x14ac:dyDescent="0.3">
      <c r="J76" t="s">
        <v>102</v>
      </c>
      <c r="K76" s="61">
        <v>7308</v>
      </c>
    </row>
    <row r="77" spans="10:11" x14ac:dyDescent="0.3">
      <c r="J77" t="s">
        <v>196</v>
      </c>
      <c r="K77" s="61">
        <v>2400</v>
      </c>
    </row>
    <row r="78" spans="10:11" x14ac:dyDescent="0.3">
      <c r="J78" t="s">
        <v>176</v>
      </c>
      <c r="K78" s="61">
        <v>2400</v>
      </c>
    </row>
    <row r="79" spans="10:11" x14ac:dyDescent="0.3">
      <c r="J79" t="s">
        <v>243</v>
      </c>
      <c r="K79" s="61">
        <v>24644.75</v>
      </c>
    </row>
    <row r="80" spans="10:11" x14ac:dyDescent="0.3">
      <c r="J80" t="s">
        <v>270</v>
      </c>
      <c r="K80" s="61">
        <v>0</v>
      </c>
    </row>
    <row r="81" spans="10:11" x14ac:dyDescent="0.3">
      <c r="J81" t="s">
        <v>41</v>
      </c>
      <c r="K81" s="61">
        <v>555402.5</v>
      </c>
    </row>
    <row r="82" spans="10:11" x14ac:dyDescent="0.3">
      <c r="J82" t="s">
        <v>30</v>
      </c>
      <c r="K82" s="61">
        <v>3043298</v>
      </c>
    </row>
    <row r="83" spans="10:11" x14ac:dyDescent="0.3">
      <c r="J83" t="s">
        <v>199</v>
      </c>
      <c r="K83" s="61">
        <v>33600</v>
      </c>
    </row>
    <row r="84" spans="10:11" x14ac:dyDescent="0.3">
      <c r="J84" t="s">
        <v>250</v>
      </c>
      <c r="K84" s="61">
        <v>15645</v>
      </c>
    </row>
    <row r="85" spans="10:11" x14ac:dyDescent="0.3">
      <c r="J85" t="s">
        <v>248</v>
      </c>
      <c r="K85" s="61">
        <v>19000</v>
      </c>
    </row>
    <row r="86" spans="10:11" x14ac:dyDescent="0.3">
      <c r="J86" t="s">
        <v>294</v>
      </c>
      <c r="K86" s="61">
        <v>0</v>
      </c>
    </row>
    <row r="87" spans="10:11" x14ac:dyDescent="0.3">
      <c r="J87" t="s">
        <v>292</v>
      </c>
      <c r="K87" s="61">
        <v>10000</v>
      </c>
    </row>
    <row r="88" spans="10:11" x14ac:dyDescent="0.3">
      <c r="J88" t="s">
        <v>136</v>
      </c>
      <c r="K88" s="61">
        <v>37500</v>
      </c>
    </row>
    <row r="89" spans="10:11" x14ac:dyDescent="0.3">
      <c r="J89" t="s">
        <v>32</v>
      </c>
      <c r="K89" s="61">
        <v>185800</v>
      </c>
    </row>
    <row r="90" spans="10:11" x14ac:dyDescent="0.3">
      <c r="J90" t="s">
        <v>135</v>
      </c>
      <c r="K90" s="61">
        <v>15600</v>
      </c>
    </row>
    <row r="91" spans="10:11" x14ac:dyDescent="0.3">
      <c r="J91" t="s">
        <v>224</v>
      </c>
      <c r="K91" s="61">
        <v>11600</v>
      </c>
    </row>
    <row r="92" spans="10:11" x14ac:dyDescent="0.3">
      <c r="J92" t="s">
        <v>209</v>
      </c>
      <c r="K92" s="61">
        <v>2501.41</v>
      </c>
    </row>
    <row r="93" spans="10:11" x14ac:dyDescent="0.3">
      <c r="J93" t="s">
        <v>118</v>
      </c>
      <c r="K93" s="61">
        <v>6020.4</v>
      </c>
    </row>
    <row r="94" spans="10:11" x14ac:dyDescent="0.3">
      <c r="J94" t="s">
        <v>271</v>
      </c>
      <c r="K94" s="61">
        <v>153554.99999999997</v>
      </c>
    </row>
    <row r="95" spans="10:11" x14ac:dyDescent="0.3">
      <c r="J95" t="s">
        <v>261</v>
      </c>
      <c r="K95" s="61">
        <v>3310</v>
      </c>
    </row>
    <row r="96" spans="10:11" x14ac:dyDescent="0.3">
      <c r="J96" t="s">
        <v>33</v>
      </c>
      <c r="K96" s="61">
        <v>37000</v>
      </c>
    </row>
    <row r="97" spans="10:11" x14ac:dyDescent="0.3">
      <c r="J97" t="s">
        <v>244</v>
      </c>
      <c r="K97" s="61">
        <v>18768</v>
      </c>
    </row>
    <row r="98" spans="10:11" x14ac:dyDescent="0.3">
      <c r="J98" t="s">
        <v>126</v>
      </c>
      <c r="K98" s="61">
        <v>11377.59</v>
      </c>
    </row>
    <row r="99" spans="10:11" x14ac:dyDescent="0.3">
      <c r="J99" t="s">
        <v>148</v>
      </c>
      <c r="K99" s="61">
        <v>0</v>
      </c>
    </row>
    <row r="100" spans="10:11" x14ac:dyDescent="0.3">
      <c r="J100" t="s">
        <v>2</v>
      </c>
      <c r="K100" s="61">
        <v>329928.42</v>
      </c>
    </row>
    <row r="101" spans="10:11" x14ac:dyDescent="0.3">
      <c r="J101" t="s">
        <v>48</v>
      </c>
      <c r="K101" s="61">
        <v>0</v>
      </c>
    </row>
    <row r="102" spans="10:11" x14ac:dyDescent="0.3">
      <c r="J102" t="s">
        <v>211</v>
      </c>
      <c r="K102" s="61">
        <v>7540</v>
      </c>
    </row>
    <row r="103" spans="10:11" x14ac:dyDescent="0.3">
      <c r="J103" t="s">
        <v>242</v>
      </c>
      <c r="K103" s="61">
        <v>3888</v>
      </c>
    </row>
    <row r="104" spans="10:11" x14ac:dyDescent="0.3">
      <c r="J104" t="s">
        <v>132</v>
      </c>
      <c r="K104" s="61">
        <v>6042.2</v>
      </c>
    </row>
    <row r="105" spans="10:11" x14ac:dyDescent="0.3">
      <c r="J105" t="s">
        <v>177</v>
      </c>
      <c r="K105" s="61">
        <v>0</v>
      </c>
    </row>
    <row r="106" spans="10:11" x14ac:dyDescent="0.3">
      <c r="J106" t="s">
        <v>40</v>
      </c>
      <c r="K106" s="61">
        <v>0</v>
      </c>
    </row>
    <row r="107" spans="10:11" x14ac:dyDescent="0.3">
      <c r="J107" t="s">
        <v>49</v>
      </c>
      <c r="K107" s="61">
        <v>0</v>
      </c>
    </row>
    <row r="108" spans="10:11" x14ac:dyDescent="0.3">
      <c r="J108" t="s">
        <v>50</v>
      </c>
      <c r="K108" s="61">
        <v>20000</v>
      </c>
    </row>
    <row r="109" spans="10:11" x14ac:dyDescent="0.3">
      <c r="J109" t="s">
        <v>315</v>
      </c>
      <c r="K109" s="61">
        <v>1551</v>
      </c>
    </row>
    <row r="110" spans="10:11" x14ac:dyDescent="0.3">
      <c r="J110" t="s">
        <v>6</v>
      </c>
      <c r="K110" s="61">
        <v>0</v>
      </c>
    </row>
    <row r="111" spans="10:11" x14ac:dyDescent="0.3">
      <c r="J111" t="s">
        <v>113</v>
      </c>
      <c r="K111" s="61">
        <v>12000</v>
      </c>
    </row>
    <row r="112" spans="10:11" x14ac:dyDescent="0.3">
      <c r="J112" t="s">
        <v>63</v>
      </c>
      <c r="K112" s="61">
        <v>17470</v>
      </c>
    </row>
    <row r="113" spans="10:11" x14ac:dyDescent="0.3">
      <c r="J113" t="s">
        <v>206</v>
      </c>
      <c r="K113" s="61">
        <v>14500</v>
      </c>
    </row>
    <row r="114" spans="10:11" x14ac:dyDescent="0.3">
      <c r="J114" t="s">
        <v>87</v>
      </c>
      <c r="K114" s="61">
        <v>0</v>
      </c>
    </row>
    <row r="115" spans="10:11" x14ac:dyDescent="0.3">
      <c r="J115" t="s">
        <v>146</v>
      </c>
      <c r="K115" s="61">
        <v>0</v>
      </c>
    </row>
    <row r="116" spans="10:11" x14ac:dyDescent="0.3">
      <c r="J116" t="s">
        <v>262</v>
      </c>
      <c r="K116" s="61">
        <v>2516.21</v>
      </c>
    </row>
    <row r="117" spans="10:11" x14ac:dyDescent="0.3">
      <c r="J117" t="s">
        <v>257</v>
      </c>
      <c r="K117" s="61">
        <v>520</v>
      </c>
    </row>
    <row r="118" spans="10:11" x14ac:dyDescent="0.3">
      <c r="J118" t="s">
        <v>183</v>
      </c>
      <c r="K118" s="61">
        <v>8000</v>
      </c>
    </row>
    <row r="119" spans="10:11" x14ac:dyDescent="0.3">
      <c r="J119" t="s">
        <v>408</v>
      </c>
      <c r="K119" s="61">
        <v>7051503.5980000012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2589-5689-4566-9C79-D58F4D9A5AFB}">
  <dimension ref="A1:H501"/>
  <sheetViews>
    <sheetView workbookViewId="0">
      <pane ySplit="1" topLeftCell="A2" activePane="bottomLeft" state="frozen"/>
      <selection pane="bottomLeft" activeCell="C22" sqref="C22"/>
    </sheetView>
  </sheetViews>
  <sheetFormatPr baseColWidth="10" defaultRowHeight="14.4" x14ac:dyDescent="0.3"/>
  <cols>
    <col min="1" max="1" width="5.5546875" customWidth="1"/>
    <col min="2" max="2" width="20.33203125" customWidth="1"/>
    <col min="3" max="3" width="44.44140625" customWidth="1"/>
    <col min="4" max="4" width="27.77734375" customWidth="1"/>
    <col min="5" max="6" width="17.5546875" customWidth="1"/>
  </cols>
  <sheetData>
    <row r="1" spans="1:8" x14ac:dyDescent="0.3">
      <c r="A1" s="59" t="s">
        <v>377</v>
      </c>
      <c r="B1" s="59" t="s">
        <v>337</v>
      </c>
      <c r="C1" s="59" t="s">
        <v>338</v>
      </c>
      <c r="D1" s="59" t="s">
        <v>339</v>
      </c>
      <c r="E1" s="59" t="s">
        <v>340</v>
      </c>
      <c r="F1" s="59" t="s">
        <v>269</v>
      </c>
      <c r="G1" s="59" t="s">
        <v>378</v>
      </c>
      <c r="H1" s="59" t="s">
        <v>433</v>
      </c>
    </row>
    <row r="2" spans="1:8" x14ac:dyDescent="0.3">
      <c r="A2">
        <v>1</v>
      </c>
      <c r="B2" t="s">
        <v>341</v>
      </c>
      <c r="C2" t="s">
        <v>30</v>
      </c>
      <c r="D2" t="s">
        <v>342</v>
      </c>
      <c r="E2" s="61">
        <v>130000</v>
      </c>
      <c r="F2" s="61">
        <v>0</v>
      </c>
      <c r="G2" s="56" t="str">
        <f>TEXT(TablaGastos[[#This Row],[Orden]],"00")&amp;" "&amp;TablaGastos[[#This Row],[Semana]]</f>
        <v>01 10-15 NOV</v>
      </c>
      <c r="H2" s="56" t="str">
        <f>_xlfn.XLOOKUP(TablaGastos[[#This Row],[Semana]],Pivots!$U$2:$U$30,Pivots!$Y$2:$Y$30)</f>
        <v>1-Nov</v>
      </c>
    </row>
    <row r="3" spans="1:8" x14ac:dyDescent="0.3">
      <c r="A3">
        <v>1</v>
      </c>
      <c r="B3" t="s">
        <v>341</v>
      </c>
      <c r="C3" t="s">
        <v>2</v>
      </c>
      <c r="D3" t="s">
        <v>342</v>
      </c>
      <c r="E3" s="61">
        <v>50000</v>
      </c>
      <c r="F3" s="61">
        <v>0</v>
      </c>
      <c r="G3" s="56" t="str">
        <f>TEXT(TablaGastos[[#This Row],[Orden]],"00")&amp;" "&amp;TablaGastos[[#This Row],[Semana]]</f>
        <v>01 10-15 NOV</v>
      </c>
      <c r="H3" s="56" t="str">
        <f>_xlfn.XLOOKUP(TablaGastos[[#This Row],[Semana]],Pivots!$U$2:$U$30,Pivots!$Y$2:$Y$30)</f>
        <v>1-Nov</v>
      </c>
    </row>
    <row r="4" spans="1:8" x14ac:dyDescent="0.3">
      <c r="A4">
        <v>1</v>
      </c>
      <c r="B4" t="s">
        <v>341</v>
      </c>
      <c r="C4" t="s">
        <v>33</v>
      </c>
      <c r="D4" t="s">
        <v>343</v>
      </c>
      <c r="E4" s="61">
        <v>37000</v>
      </c>
      <c r="F4" s="61">
        <v>0</v>
      </c>
      <c r="G4" s="56" t="str">
        <f>TEXT(TablaGastos[[#This Row],[Orden]],"00")&amp;" "&amp;TablaGastos[[#This Row],[Semana]]</f>
        <v>01 10-15 NOV</v>
      </c>
      <c r="H4" s="56" t="str">
        <f>_xlfn.XLOOKUP(TablaGastos[[#This Row],[Semana]],Pivots!$U$2:$U$30,Pivots!$Y$2:$Y$30)</f>
        <v>1-Nov</v>
      </c>
    </row>
    <row r="5" spans="1:8" x14ac:dyDescent="0.3">
      <c r="A5">
        <v>1</v>
      </c>
      <c r="B5" t="s">
        <v>341</v>
      </c>
      <c r="C5" t="s">
        <v>35</v>
      </c>
      <c r="D5" t="s">
        <v>342</v>
      </c>
      <c r="E5" s="61">
        <v>30000</v>
      </c>
      <c r="F5" s="61">
        <v>0</v>
      </c>
      <c r="G5" s="56" t="str">
        <f>TEXT(TablaGastos[[#This Row],[Orden]],"00")&amp;" "&amp;TablaGastos[[#This Row],[Semana]]</f>
        <v>01 10-15 NOV</v>
      </c>
      <c r="H5" s="56" t="str">
        <f>_xlfn.XLOOKUP(TablaGastos[[#This Row],[Semana]],Pivots!$U$2:$U$30,Pivots!$Y$2:$Y$30)</f>
        <v>1-Nov</v>
      </c>
    </row>
    <row r="6" spans="1:8" x14ac:dyDescent="0.3">
      <c r="A6">
        <v>1</v>
      </c>
      <c r="B6" t="s">
        <v>341</v>
      </c>
      <c r="C6" t="s">
        <v>37</v>
      </c>
      <c r="D6" t="s">
        <v>342</v>
      </c>
      <c r="E6" s="61">
        <v>10000</v>
      </c>
      <c r="F6" s="61">
        <v>0</v>
      </c>
      <c r="G6" s="56" t="str">
        <f>TEXT(TablaGastos[[#This Row],[Orden]],"00")&amp;" "&amp;TablaGastos[[#This Row],[Semana]]</f>
        <v>01 10-15 NOV</v>
      </c>
      <c r="H6" s="56" t="str">
        <f>_xlfn.XLOOKUP(TablaGastos[[#This Row],[Semana]],Pivots!$U$2:$U$30,Pivots!$Y$2:$Y$30)</f>
        <v>1-Nov</v>
      </c>
    </row>
    <row r="7" spans="1:8" x14ac:dyDescent="0.3">
      <c r="A7">
        <v>1</v>
      </c>
      <c r="B7" t="s">
        <v>341</v>
      </c>
      <c r="C7" t="s">
        <v>7</v>
      </c>
      <c r="D7" t="s">
        <v>421</v>
      </c>
      <c r="E7" s="61">
        <v>3000</v>
      </c>
      <c r="F7" s="61">
        <v>0</v>
      </c>
      <c r="G7" s="56" t="str">
        <f>TEXT(TablaGastos[[#This Row],[Orden]],"00")&amp;" "&amp;TablaGastos[[#This Row],[Semana]]</f>
        <v>01 10-15 NOV</v>
      </c>
      <c r="H7" s="56" t="str">
        <f>_xlfn.XLOOKUP(TablaGastos[[#This Row],[Semana]],Pivots!$U$2:$U$30,Pivots!$Y$2:$Y$30)</f>
        <v>1-Nov</v>
      </c>
    </row>
    <row r="8" spans="1:8" x14ac:dyDescent="0.3">
      <c r="A8">
        <v>1</v>
      </c>
      <c r="B8" t="s">
        <v>341</v>
      </c>
      <c r="C8" t="s">
        <v>38</v>
      </c>
      <c r="D8" t="s">
        <v>421</v>
      </c>
      <c r="E8" s="61">
        <v>9000</v>
      </c>
      <c r="F8" s="61">
        <v>0</v>
      </c>
      <c r="G8" s="56" t="str">
        <f>TEXT(TablaGastos[[#This Row],[Orden]],"00")&amp;" "&amp;TablaGastos[[#This Row],[Semana]]</f>
        <v>01 10-15 NOV</v>
      </c>
      <c r="H8" s="56" t="str">
        <f>_xlfn.XLOOKUP(TablaGastos[[#This Row],[Semana]],Pivots!$U$2:$U$30,Pivots!$Y$2:$Y$30)</f>
        <v>1-Nov</v>
      </c>
    </row>
    <row r="9" spans="1:8" x14ac:dyDescent="0.3">
      <c r="A9">
        <v>1</v>
      </c>
      <c r="B9" t="s">
        <v>341</v>
      </c>
      <c r="C9" t="s">
        <v>39</v>
      </c>
      <c r="D9" t="s">
        <v>342</v>
      </c>
      <c r="E9" s="61">
        <v>12006</v>
      </c>
      <c r="F9" s="61">
        <v>0</v>
      </c>
      <c r="G9" s="56" t="str">
        <f>TEXT(TablaGastos[[#This Row],[Orden]],"00")&amp;" "&amp;TablaGastos[[#This Row],[Semana]]</f>
        <v>01 10-15 NOV</v>
      </c>
      <c r="H9" s="56" t="str">
        <f>_xlfn.XLOOKUP(TablaGastos[[#This Row],[Semana]],Pivots!$U$2:$U$30,Pivots!$Y$2:$Y$30)</f>
        <v>1-Nov</v>
      </c>
    </row>
    <row r="10" spans="1:8" x14ac:dyDescent="0.3">
      <c r="A10">
        <v>1</v>
      </c>
      <c r="B10" t="s">
        <v>341</v>
      </c>
      <c r="C10" t="s">
        <v>6</v>
      </c>
      <c r="D10" t="s">
        <v>422</v>
      </c>
      <c r="E10" s="61">
        <v>0</v>
      </c>
      <c r="F10" s="61">
        <v>16240</v>
      </c>
      <c r="G10" s="56" t="str">
        <f>TEXT(TablaGastos[[#This Row],[Orden]],"00")&amp;" "&amp;TablaGastos[[#This Row],[Semana]]</f>
        <v>01 10-15 NOV</v>
      </c>
      <c r="H10" s="56" t="str">
        <f>_xlfn.XLOOKUP(TablaGastos[[#This Row],[Semana]],Pivots!$U$2:$U$30,Pivots!$Y$2:$Y$30)</f>
        <v>1-Nov</v>
      </c>
    </row>
    <row r="11" spans="1:8" x14ac:dyDescent="0.3">
      <c r="A11">
        <v>1</v>
      </c>
      <c r="B11" t="s">
        <v>341</v>
      </c>
      <c r="C11" t="s">
        <v>40</v>
      </c>
      <c r="D11" t="s">
        <v>421</v>
      </c>
      <c r="E11" s="61">
        <v>0</v>
      </c>
      <c r="F11" s="61">
        <v>2500</v>
      </c>
      <c r="G11" s="56" t="str">
        <f>TEXT(TablaGastos[[#This Row],[Orden]],"00")&amp;" "&amp;TablaGastos[[#This Row],[Semana]]</f>
        <v>01 10-15 NOV</v>
      </c>
      <c r="H11" s="56" t="str">
        <f>_xlfn.XLOOKUP(TablaGastos[[#This Row],[Semana]],Pivots!$U$2:$U$30,Pivots!$Y$2:$Y$30)</f>
        <v>1-Nov</v>
      </c>
    </row>
    <row r="12" spans="1:8" x14ac:dyDescent="0.3">
      <c r="A12">
        <v>1</v>
      </c>
      <c r="B12" t="s">
        <v>341</v>
      </c>
      <c r="C12" t="s">
        <v>41</v>
      </c>
      <c r="D12" t="s">
        <v>342</v>
      </c>
      <c r="E12" s="61">
        <v>30000</v>
      </c>
      <c r="F12" s="61">
        <v>0</v>
      </c>
      <c r="G12" s="56" t="str">
        <f>TEXT(TablaGastos[[#This Row],[Orden]],"00")&amp;" "&amp;TablaGastos[[#This Row],[Semana]]</f>
        <v>01 10-15 NOV</v>
      </c>
      <c r="H12" s="56" t="str">
        <f>_xlfn.XLOOKUP(TablaGastos[[#This Row],[Semana]],Pivots!$U$2:$U$30,Pivots!$Y$2:$Y$30)</f>
        <v>1-Nov</v>
      </c>
    </row>
    <row r="13" spans="1:8" x14ac:dyDescent="0.3">
      <c r="A13">
        <v>2</v>
      </c>
      <c r="B13" t="s">
        <v>345</v>
      </c>
      <c r="C13" t="s">
        <v>30</v>
      </c>
      <c r="D13" t="s">
        <v>342</v>
      </c>
      <c r="E13" s="61">
        <v>115000</v>
      </c>
      <c r="F13" s="61">
        <v>0</v>
      </c>
      <c r="G13" s="56" t="str">
        <f>TEXT(TablaGastos[[#This Row],[Orden]],"00")&amp;" "&amp;TablaGastos[[#This Row],[Semana]]</f>
        <v>02 17-22 NOV</v>
      </c>
      <c r="H13" s="56" t="str">
        <f>_xlfn.XLOOKUP(TablaGastos[[#This Row],[Semana]],Pivots!$U$2:$U$30,Pivots!$Y$2:$Y$30)</f>
        <v>1-Nov</v>
      </c>
    </row>
    <row r="14" spans="1:8" x14ac:dyDescent="0.3">
      <c r="A14">
        <v>2</v>
      </c>
      <c r="B14" t="s">
        <v>345</v>
      </c>
      <c r="C14" t="s">
        <v>2</v>
      </c>
      <c r="D14" t="s">
        <v>342</v>
      </c>
      <c r="E14" s="61">
        <v>30000</v>
      </c>
      <c r="F14" s="61">
        <v>0</v>
      </c>
      <c r="G14" s="56" t="str">
        <f>TEXT(TablaGastos[[#This Row],[Orden]],"00")&amp;" "&amp;TablaGastos[[#This Row],[Semana]]</f>
        <v>02 17-22 NOV</v>
      </c>
      <c r="H14" s="56" t="str">
        <f>_xlfn.XLOOKUP(TablaGastos[[#This Row],[Semana]],Pivots!$U$2:$U$30,Pivots!$Y$2:$Y$30)</f>
        <v>1-Nov</v>
      </c>
    </row>
    <row r="15" spans="1:8" x14ac:dyDescent="0.3">
      <c r="A15">
        <v>2</v>
      </c>
      <c r="B15" t="s">
        <v>345</v>
      </c>
      <c r="C15" t="s">
        <v>2</v>
      </c>
      <c r="D15" t="s">
        <v>342</v>
      </c>
      <c r="E15" s="61">
        <v>0</v>
      </c>
      <c r="F15" s="61">
        <v>50136</v>
      </c>
      <c r="G15" s="56" t="str">
        <f>TEXT(TablaGastos[[#This Row],[Orden]],"00")&amp;" "&amp;TablaGastos[[#This Row],[Semana]]</f>
        <v>02 17-22 NOV</v>
      </c>
      <c r="H15" s="56" t="str">
        <f>_xlfn.XLOOKUP(TablaGastos[[#This Row],[Semana]],Pivots!$U$2:$U$30,Pivots!$Y$2:$Y$30)</f>
        <v>1-Nov</v>
      </c>
    </row>
    <row r="16" spans="1:8" x14ac:dyDescent="0.3">
      <c r="A16">
        <v>2</v>
      </c>
      <c r="B16" t="s">
        <v>345</v>
      </c>
      <c r="C16" t="s">
        <v>35</v>
      </c>
      <c r="D16" t="s">
        <v>342</v>
      </c>
      <c r="E16" s="61">
        <v>50000</v>
      </c>
      <c r="F16" s="61">
        <v>0</v>
      </c>
      <c r="G16" s="56" t="str">
        <f>TEXT(TablaGastos[[#This Row],[Orden]],"00")&amp;" "&amp;TablaGastos[[#This Row],[Semana]]</f>
        <v>02 17-22 NOV</v>
      </c>
      <c r="H16" s="56" t="str">
        <f>_xlfn.XLOOKUP(TablaGastos[[#This Row],[Semana]],Pivots!$U$2:$U$30,Pivots!$Y$2:$Y$30)</f>
        <v>1-Nov</v>
      </c>
    </row>
    <row r="17" spans="1:8" x14ac:dyDescent="0.3">
      <c r="A17">
        <v>2</v>
      </c>
      <c r="B17" t="s">
        <v>345</v>
      </c>
      <c r="C17" t="s">
        <v>37</v>
      </c>
      <c r="D17" t="s">
        <v>342</v>
      </c>
      <c r="E17" s="61">
        <v>20000</v>
      </c>
      <c r="F17" s="61">
        <v>0</v>
      </c>
      <c r="G17" s="56" t="str">
        <f>TEXT(TablaGastos[[#This Row],[Orden]],"00")&amp;" "&amp;TablaGastos[[#This Row],[Semana]]</f>
        <v>02 17-22 NOV</v>
      </c>
      <c r="H17" s="56" t="str">
        <f>_xlfn.XLOOKUP(TablaGastos[[#This Row],[Semana]],Pivots!$U$2:$U$30,Pivots!$Y$2:$Y$30)</f>
        <v>1-Nov</v>
      </c>
    </row>
    <row r="18" spans="1:8" x14ac:dyDescent="0.3">
      <c r="A18">
        <v>2</v>
      </c>
      <c r="B18" t="s">
        <v>345</v>
      </c>
      <c r="C18" t="s">
        <v>7</v>
      </c>
      <c r="D18" t="s">
        <v>421</v>
      </c>
      <c r="E18" s="61">
        <v>3000</v>
      </c>
      <c r="F18" s="61">
        <v>0</v>
      </c>
      <c r="G18" s="56" t="str">
        <f>TEXT(TablaGastos[[#This Row],[Orden]],"00")&amp;" "&amp;TablaGastos[[#This Row],[Semana]]</f>
        <v>02 17-22 NOV</v>
      </c>
      <c r="H18" s="56" t="str">
        <f>_xlfn.XLOOKUP(TablaGastos[[#This Row],[Semana]],Pivots!$U$2:$U$30,Pivots!$Y$2:$Y$30)</f>
        <v>1-Nov</v>
      </c>
    </row>
    <row r="19" spans="1:8" x14ac:dyDescent="0.3">
      <c r="A19">
        <v>2</v>
      </c>
      <c r="B19" t="s">
        <v>345</v>
      </c>
      <c r="C19" t="s">
        <v>38</v>
      </c>
      <c r="D19" t="s">
        <v>421</v>
      </c>
      <c r="E19" s="61">
        <v>9000</v>
      </c>
      <c r="F19" s="61">
        <v>0</v>
      </c>
      <c r="G19" s="56" t="str">
        <f>TEXT(TablaGastos[[#This Row],[Orden]],"00")&amp;" "&amp;TablaGastos[[#This Row],[Semana]]</f>
        <v>02 17-22 NOV</v>
      </c>
      <c r="H19" s="56" t="str">
        <f>_xlfn.XLOOKUP(TablaGastos[[#This Row],[Semana]],Pivots!$U$2:$U$30,Pivots!$Y$2:$Y$30)</f>
        <v>1-Nov</v>
      </c>
    </row>
    <row r="20" spans="1:8" x14ac:dyDescent="0.3">
      <c r="A20">
        <v>2</v>
      </c>
      <c r="B20" t="s">
        <v>345</v>
      </c>
      <c r="C20" t="s">
        <v>39</v>
      </c>
      <c r="D20" t="s">
        <v>342</v>
      </c>
      <c r="E20" s="61">
        <v>0</v>
      </c>
      <c r="F20" s="61">
        <v>12006</v>
      </c>
      <c r="G20" s="56" t="str">
        <f>TEXT(TablaGastos[[#This Row],[Orden]],"00")&amp;" "&amp;TablaGastos[[#This Row],[Semana]]</f>
        <v>02 17-22 NOV</v>
      </c>
      <c r="H20" s="56" t="str">
        <f>_xlfn.XLOOKUP(TablaGastos[[#This Row],[Semana]],Pivots!$U$2:$U$30,Pivots!$Y$2:$Y$30)</f>
        <v>1-Nov</v>
      </c>
    </row>
    <row r="21" spans="1:8" x14ac:dyDescent="0.3">
      <c r="A21">
        <v>2</v>
      </c>
      <c r="B21" t="s">
        <v>345</v>
      </c>
      <c r="C21" t="s">
        <v>6</v>
      </c>
      <c r="D21" t="s">
        <v>422</v>
      </c>
      <c r="E21" s="61">
        <v>0</v>
      </c>
      <c r="F21" s="61">
        <v>16240</v>
      </c>
      <c r="G21" s="56" t="str">
        <f>TEXT(TablaGastos[[#This Row],[Orden]],"00")&amp;" "&amp;TablaGastos[[#This Row],[Semana]]</f>
        <v>02 17-22 NOV</v>
      </c>
      <c r="H21" s="56" t="str">
        <f>_xlfn.XLOOKUP(TablaGastos[[#This Row],[Semana]],Pivots!$U$2:$U$30,Pivots!$Y$2:$Y$30)</f>
        <v>1-Nov</v>
      </c>
    </row>
    <row r="22" spans="1:8" x14ac:dyDescent="0.3">
      <c r="A22">
        <v>2</v>
      </c>
      <c r="B22" t="s">
        <v>345</v>
      </c>
      <c r="C22" t="s">
        <v>40</v>
      </c>
      <c r="D22" t="s">
        <v>421</v>
      </c>
      <c r="E22" s="61">
        <v>0</v>
      </c>
      <c r="F22" s="61">
        <v>2500</v>
      </c>
      <c r="G22" s="56" t="str">
        <f>TEXT(TablaGastos[[#This Row],[Orden]],"00")&amp;" "&amp;TablaGastos[[#This Row],[Semana]]</f>
        <v>02 17-22 NOV</v>
      </c>
      <c r="H22" s="56" t="str">
        <f>_xlfn.XLOOKUP(TablaGastos[[#This Row],[Semana]],Pivots!$U$2:$U$30,Pivots!$Y$2:$Y$30)</f>
        <v>1-Nov</v>
      </c>
    </row>
    <row r="23" spans="1:8" x14ac:dyDescent="0.3">
      <c r="A23">
        <v>2</v>
      </c>
      <c r="B23" t="s">
        <v>345</v>
      </c>
      <c r="C23" t="s">
        <v>41</v>
      </c>
      <c r="D23" t="s">
        <v>342</v>
      </c>
      <c r="E23" s="61">
        <v>30000</v>
      </c>
      <c r="F23" s="61">
        <v>0</v>
      </c>
      <c r="G23" s="56" t="str">
        <f>TEXT(TablaGastos[[#This Row],[Orden]],"00")&amp;" "&amp;TablaGastos[[#This Row],[Semana]]</f>
        <v>02 17-22 NOV</v>
      </c>
      <c r="H23" s="56" t="str">
        <f>_xlfn.XLOOKUP(TablaGastos[[#This Row],[Semana]],Pivots!$U$2:$U$30,Pivots!$Y$2:$Y$30)</f>
        <v>1-Nov</v>
      </c>
    </row>
    <row r="24" spans="1:8" x14ac:dyDescent="0.3">
      <c r="A24">
        <v>2</v>
      </c>
      <c r="B24" t="s">
        <v>345</v>
      </c>
      <c r="C24" t="s">
        <v>48</v>
      </c>
      <c r="D24" t="s">
        <v>342</v>
      </c>
      <c r="E24" s="61">
        <v>0</v>
      </c>
      <c r="F24" s="61">
        <v>20300</v>
      </c>
      <c r="G24" s="56" t="str">
        <f>TEXT(TablaGastos[[#This Row],[Orden]],"00")&amp;" "&amp;TablaGastos[[#This Row],[Semana]]</f>
        <v>02 17-22 NOV</v>
      </c>
      <c r="H24" s="56" t="str">
        <f>_xlfn.XLOOKUP(TablaGastos[[#This Row],[Semana]],Pivots!$U$2:$U$30,Pivots!$Y$2:$Y$30)</f>
        <v>1-Nov</v>
      </c>
    </row>
    <row r="25" spans="1:8" x14ac:dyDescent="0.3">
      <c r="A25">
        <v>2</v>
      </c>
      <c r="B25" t="s">
        <v>345</v>
      </c>
      <c r="C25" t="s">
        <v>49</v>
      </c>
      <c r="D25" t="s">
        <v>342</v>
      </c>
      <c r="E25" s="61">
        <v>0</v>
      </c>
      <c r="F25" s="61">
        <v>20000</v>
      </c>
      <c r="G25" s="56" t="str">
        <f>TEXT(TablaGastos[[#This Row],[Orden]],"00")&amp;" "&amp;TablaGastos[[#This Row],[Semana]]</f>
        <v>02 17-22 NOV</v>
      </c>
      <c r="H25" s="56" t="str">
        <f>_xlfn.XLOOKUP(TablaGastos[[#This Row],[Semana]],Pivots!$U$2:$U$30,Pivots!$Y$2:$Y$30)</f>
        <v>1-Nov</v>
      </c>
    </row>
    <row r="26" spans="1:8" x14ac:dyDescent="0.3">
      <c r="A26">
        <v>2</v>
      </c>
      <c r="B26" t="s">
        <v>345</v>
      </c>
      <c r="C26" t="s">
        <v>50</v>
      </c>
      <c r="D26" t="s">
        <v>342</v>
      </c>
      <c r="E26" s="61">
        <v>20000</v>
      </c>
      <c r="F26" s="61">
        <v>0</v>
      </c>
      <c r="G26" s="56" t="str">
        <f>TEXT(TablaGastos[[#This Row],[Orden]],"00")&amp;" "&amp;TablaGastos[[#This Row],[Semana]]</f>
        <v>02 17-22 NOV</v>
      </c>
      <c r="H26" s="56" t="str">
        <f>_xlfn.XLOOKUP(TablaGastos[[#This Row],[Semana]],Pivots!$U$2:$U$30,Pivots!$Y$2:$Y$30)</f>
        <v>1-Nov</v>
      </c>
    </row>
    <row r="27" spans="1:8" x14ac:dyDescent="0.3">
      <c r="A27">
        <v>2</v>
      </c>
      <c r="B27" t="s">
        <v>345</v>
      </c>
      <c r="C27" t="s">
        <v>52</v>
      </c>
      <c r="D27" t="s">
        <v>422</v>
      </c>
      <c r="E27" s="61">
        <v>0</v>
      </c>
      <c r="F27" s="61">
        <v>16240</v>
      </c>
      <c r="G27" s="56" t="str">
        <f>TEXT(TablaGastos[[#This Row],[Orden]],"00")&amp;" "&amp;TablaGastos[[#This Row],[Semana]]</f>
        <v>02 17-22 NOV</v>
      </c>
      <c r="H27" s="56" t="str">
        <f>_xlfn.XLOOKUP(TablaGastos[[#This Row],[Semana]],Pivots!$U$2:$U$30,Pivots!$Y$2:$Y$30)</f>
        <v>1-Nov</v>
      </c>
    </row>
    <row r="28" spans="1:8" x14ac:dyDescent="0.3">
      <c r="A28">
        <v>2</v>
      </c>
      <c r="B28" t="s">
        <v>345</v>
      </c>
      <c r="C28" t="s">
        <v>53</v>
      </c>
      <c r="D28" t="s">
        <v>422</v>
      </c>
      <c r="E28" s="61">
        <v>15000</v>
      </c>
      <c r="F28" s="61">
        <v>0</v>
      </c>
      <c r="G28" s="56" t="str">
        <f>TEXT(TablaGastos[[#This Row],[Orden]],"00")&amp;" "&amp;TablaGastos[[#This Row],[Semana]]</f>
        <v>02 17-22 NOV</v>
      </c>
      <c r="H28" s="56" t="str">
        <f>_xlfn.XLOOKUP(TablaGastos[[#This Row],[Semana]],Pivots!$U$2:$U$30,Pivots!$Y$2:$Y$30)</f>
        <v>1-Nov</v>
      </c>
    </row>
    <row r="29" spans="1:8" x14ac:dyDescent="0.3">
      <c r="A29">
        <v>2</v>
      </c>
      <c r="B29" t="s">
        <v>345</v>
      </c>
      <c r="C29" t="s">
        <v>54</v>
      </c>
      <c r="D29" t="s">
        <v>421</v>
      </c>
      <c r="E29" s="61">
        <v>0</v>
      </c>
      <c r="F29" s="61">
        <v>3000</v>
      </c>
      <c r="G29" s="56" t="str">
        <f>TEXT(TablaGastos[[#This Row],[Orden]],"00")&amp;" "&amp;TablaGastos[[#This Row],[Semana]]</f>
        <v>02 17-22 NOV</v>
      </c>
      <c r="H29" s="56" t="str">
        <f>_xlfn.XLOOKUP(TablaGastos[[#This Row],[Semana]],Pivots!$U$2:$U$30,Pivots!$Y$2:$Y$30)</f>
        <v>1-Nov</v>
      </c>
    </row>
    <row r="30" spans="1:8" x14ac:dyDescent="0.3">
      <c r="A30">
        <v>2</v>
      </c>
      <c r="B30" t="s">
        <v>345</v>
      </c>
      <c r="C30" t="s">
        <v>31</v>
      </c>
      <c r="D30" t="s">
        <v>344</v>
      </c>
      <c r="E30" s="61">
        <v>0</v>
      </c>
      <c r="F30" s="61">
        <v>20000</v>
      </c>
      <c r="G30" s="56" t="str">
        <f>TEXT(TablaGastos[[#This Row],[Orden]],"00")&amp;" "&amp;TablaGastos[[#This Row],[Semana]]</f>
        <v>02 17-22 NOV</v>
      </c>
      <c r="H30" s="56" t="str">
        <f>_xlfn.XLOOKUP(TablaGastos[[#This Row],[Semana]],Pivots!$U$2:$U$30,Pivots!$Y$2:$Y$30)</f>
        <v>1-Nov</v>
      </c>
    </row>
    <row r="31" spans="1:8" x14ac:dyDescent="0.3">
      <c r="A31">
        <v>2</v>
      </c>
      <c r="B31" t="s">
        <v>345</v>
      </c>
      <c r="C31" t="s">
        <v>55</v>
      </c>
      <c r="D31" t="s">
        <v>342</v>
      </c>
      <c r="E31" s="61">
        <v>0</v>
      </c>
      <c r="F31" s="61">
        <v>25800</v>
      </c>
      <c r="G31" s="56" t="str">
        <f>TEXT(TablaGastos[[#This Row],[Orden]],"00")&amp;" "&amp;TablaGastos[[#This Row],[Semana]]</f>
        <v>02 17-22 NOV</v>
      </c>
      <c r="H31" s="56" t="str">
        <f>_xlfn.XLOOKUP(TablaGastos[[#This Row],[Semana]],Pivots!$U$2:$U$30,Pivots!$Y$2:$Y$30)</f>
        <v>1-Nov</v>
      </c>
    </row>
    <row r="32" spans="1:8" x14ac:dyDescent="0.3">
      <c r="A32">
        <v>3</v>
      </c>
      <c r="B32" t="s">
        <v>346</v>
      </c>
      <c r="C32" t="s">
        <v>30</v>
      </c>
      <c r="D32" t="s">
        <v>342</v>
      </c>
      <c r="E32" s="61">
        <v>110000</v>
      </c>
      <c r="F32" s="61">
        <v>0</v>
      </c>
      <c r="G32" s="56" t="str">
        <f>TEXT(TablaGastos[[#This Row],[Orden]],"00")&amp;" "&amp;TablaGastos[[#This Row],[Semana]]</f>
        <v>03 24-29 NOV</v>
      </c>
      <c r="H32" s="56" t="str">
        <f>_xlfn.XLOOKUP(TablaGastos[[#This Row],[Semana]],Pivots!$U$2:$U$30,Pivots!$Y$2:$Y$30)</f>
        <v>1-Nov</v>
      </c>
    </row>
    <row r="33" spans="1:8" x14ac:dyDescent="0.3">
      <c r="A33">
        <v>3</v>
      </c>
      <c r="B33" t="s">
        <v>346</v>
      </c>
      <c r="C33" t="s">
        <v>35</v>
      </c>
      <c r="D33" t="s">
        <v>342</v>
      </c>
      <c r="E33" s="61">
        <v>0</v>
      </c>
      <c r="F33" s="61">
        <v>50000</v>
      </c>
      <c r="G33" s="56" t="str">
        <f>TEXT(TablaGastos[[#This Row],[Orden]],"00")&amp;" "&amp;TablaGastos[[#This Row],[Semana]]</f>
        <v>03 24-29 NOV</v>
      </c>
      <c r="H33" s="56" t="str">
        <f>_xlfn.XLOOKUP(TablaGastos[[#This Row],[Semana]],Pivots!$U$2:$U$30,Pivots!$Y$2:$Y$30)</f>
        <v>1-Nov</v>
      </c>
    </row>
    <row r="34" spans="1:8" x14ac:dyDescent="0.3">
      <c r="A34">
        <v>3</v>
      </c>
      <c r="B34" t="s">
        <v>346</v>
      </c>
      <c r="C34" t="s">
        <v>37</v>
      </c>
      <c r="D34" t="s">
        <v>342</v>
      </c>
      <c r="E34" s="61">
        <v>0</v>
      </c>
      <c r="F34" s="61">
        <v>20000</v>
      </c>
      <c r="G34" s="56" t="str">
        <f>TEXT(TablaGastos[[#This Row],[Orden]],"00")&amp;" "&amp;TablaGastos[[#This Row],[Semana]]</f>
        <v>03 24-29 NOV</v>
      </c>
      <c r="H34" s="56" t="str">
        <f>_xlfn.XLOOKUP(TablaGastos[[#This Row],[Semana]],Pivots!$U$2:$U$30,Pivots!$Y$2:$Y$30)</f>
        <v>1-Nov</v>
      </c>
    </row>
    <row r="35" spans="1:8" x14ac:dyDescent="0.3">
      <c r="A35">
        <v>3</v>
      </c>
      <c r="B35" t="s">
        <v>346</v>
      </c>
      <c r="C35" t="s">
        <v>7</v>
      </c>
      <c r="D35" t="s">
        <v>421</v>
      </c>
      <c r="E35" s="61">
        <v>0</v>
      </c>
      <c r="F35" s="61">
        <v>3000</v>
      </c>
      <c r="G35" s="56" t="str">
        <f>TEXT(TablaGastos[[#This Row],[Orden]],"00")&amp;" "&amp;TablaGastos[[#This Row],[Semana]]</f>
        <v>03 24-29 NOV</v>
      </c>
      <c r="H35" s="56" t="str">
        <f>_xlfn.XLOOKUP(TablaGastos[[#This Row],[Semana]],Pivots!$U$2:$U$30,Pivots!$Y$2:$Y$30)</f>
        <v>1-Nov</v>
      </c>
    </row>
    <row r="36" spans="1:8" x14ac:dyDescent="0.3">
      <c r="A36">
        <v>3</v>
      </c>
      <c r="B36" t="s">
        <v>346</v>
      </c>
      <c r="C36" t="s">
        <v>38</v>
      </c>
      <c r="D36" t="s">
        <v>421</v>
      </c>
      <c r="E36" s="61">
        <v>0</v>
      </c>
      <c r="F36" s="61">
        <v>9000</v>
      </c>
      <c r="G36" s="56" t="str">
        <f>TEXT(TablaGastos[[#This Row],[Orden]],"00")&amp;" "&amp;TablaGastos[[#This Row],[Semana]]</f>
        <v>03 24-29 NOV</v>
      </c>
      <c r="H36" s="56" t="str">
        <f>_xlfn.XLOOKUP(TablaGastos[[#This Row],[Semana]],Pivots!$U$2:$U$30,Pivots!$Y$2:$Y$30)</f>
        <v>1-Nov</v>
      </c>
    </row>
    <row r="37" spans="1:8" x14ac:dyDescent="0.3">
      <c r="A37">
        <v>3</v>
      </c>
      <c r="B37" t="s">
        <v>346</v>
      </c>
      <c r="C37" t="s">
        <v>40</v>
      </c>
      <c r="D37" t="s">
        <v>421</v>
      </c>
      <c r="E37" s="61">
        <v>0</v>
      </c>
      <c r="F37" s="61">
        <v>2500</v>
      </c>
      <c r="G37" s="56" t="str">
        <f>TEXT(TablaGastos[[#This Row],[Orden]],"00")&amp;" "&amp;TablaGastos[[#This Row],[Semana]]</f>
        <v>03 24-29 NOV</v>
      </c>
      <c r="H37" s="56" t="str">
        <f>_xlfn.XLOOKUP(TablaGastos[[#This Row],[Semana]],Pivots!$U$2:$U$30,Pivots!$Y$2:$Y$30)</f>
        <v>1-Nov</v>
      </c>
    </row>
    <row r="38" spans="1:8" x14ac:dyDescent="0.3">
      <c r="A38">
        <v>3</v>
      </c>
      <c r="B38" t="s">
        <v>346</v>
      </c>
      <c r="C38" t="s">
        <v>41</v>
      </c>
      <c r="D38" t="s">
        <v>342</v>
      </c>
      <c r="E38" s="61">
        <v>13000</v>
      </c>
      <c r="F38" s="61">
        <v>0</v>
      </c>
      <c r="G38" s="56" t="str">
        <f>TEXT(TablaGastos[[#This Row],[Orden]],"00")&amp;" "&amp;TablaGastos[[#This Row],[Semana]]</f>
        <v>03 24-29 NOV</v>
      </c>
      <c r="H38" s="56" t="str">
        <f>_xlfn.XLOOKUP(TablaGastos[[#This Row],[Semana]],Pivots!$U$2:$U$30,Pivots!$Y$2:$Y$30)</f>
        <v>1-Nov</v>
      </c>
    </row>
    <row r="39" spans="1:8" x14ac:dyDescent="0.3">
      <c r="A39">
        <v>3</v>
      </c>
      <c r="B39" t="s">
        <v>346</v>
      </c>
      <c r="C39" t="s">
        <v>48</v>
      </c>
      <c r="D39" t="s">
        <v>342</v>
      </c>
      <c r="E39" s="61">
        <v>0</v>
      </c>
      <c r="F39" s="61">
        <v>20300</v>
      </c>
      <c r="G39" s="56" t="str">
        <f>TEXT(TablaGastos[[#This Row],[Orden]],"00")&amp;" "&amp;TablaGastos[[#This Row],[Semana]]</f>
        <v>03 24-29 NOV</v>
      </c>
      <c r="H39" s="56" t="str">
        <f>_xlfn.XLOOKUP(TablaGastos[[#This Row],[Semana]],Pivots!$U$2:$U$30,Pivots!$Y$2:$Y$30)</f>
        <v>1-Nov</v>
      </c>
    </row>
    <row r="40" spans="1:8" x14ac:dyDescent="0.3">
      <c r="A40">
        <v>3</v>
      </c>
      <c r="B40" t="s">
        <v>346</v>
      </c>
      <c r="C40" t="s">
        <v>49</v>
      </c>
      <c r="D40" t="s">
        <v>342</v>
      </c>
      <c r="E40" s="61">
        <v>0</v>
      </c>
      <c r="F40" s="61">
        <v>20000</v>
      </c>
      <c r="G40" s="56" t="str">
        <f>TEXT(TablaGastos[[#This Row],[Orden]],"00")&amp;" "&amp;TablaGastos[[#This Row],[Semana]]</f>
        <v>03 24-29 NOV</v>
      </c>
      <c r="H40" s="56" t="str">
        <f>_xlfn.XLOOKUP(TablaGastos[[#This Row],[Semana]],Pivots!$U$2:$U$30,Pivots!$Y$2:$Y$30)</f>
        <v>1-Nov</v>
      </c>
    </row>
    <row r="41" spans="1:8" x14ac:dyDescent="0.3">
      <c r="A41">
        <v>3</v>
      </c>
      <c r="B41" t="s">
        <v>346</v>
      </c>
      <c r="C41" t="s">
        <v>63</v>
      </c>
      <c r="D41" t="s">
        <v>347</v>
      </c>
      <c r="E41" s="61">
        <v>17470</v>
      </c>
      <c r="F41" s="61">
        <v>0</v>
      </c>
      <c r="G41" s="56" t="str">
        <f>TEXT(TablaGastos[[#This Row],[Orden]],"00")&amp;" "&amp;TablaGastos[[#This Row],[Semana]]</f>
        <v>03 24-29 NOV</v>
      </c>
      <c r="H41" s="56" t="str">
        <f>_xlfn.XLOOKUP(TablaGastos[[#This Row],[Semana]],Pivots!$U$2:$U$30,Pivots!$Y$2:$Y$30)</f>
        <v>1-Nov</v>
      </c>
    </row>
    <row r="42" spans="1:8" x14ac:dyDescent="0.3">
      <c r="A42">
        <v>4</v>
      </c>
      <c r="B42" t="s">
        <v>348</v>
      </c>
      <c r="C42" t="s">
        <v>30</v>
      </c>
      <c r="D42" t="s">
        <v>342</v>
      </c>
      <c r="E42" s="61">
        <v>120000</v>
      </c>
      <c r="F42" s="61">
        <v>0</v>
      </c>
      <c r="G42" s="56" t="str">
        <f>TEXT(TablaGastos[[#This Row],[Orden]],"00")&amp;" "&amp;TablaGastos[[#This Row],[Semana]]</f>
        <v>04 01-06 Dic</v>
      </c>
      <c r="H42" s="56" t="str">
        <f>_xlfn.XLOOKUP(TablaGastos[[#This Row],[Semana]],Pivots!$U$2:$U$30,Pivots!$Y$2:$Y$30)</f>
        <v>2-Dic</v>
      </c>
    </row>
    <row r="43" spans="1:8" x14ac:dyDescent="0.3">
      <c r="A43">
        <v>4</v>
      </c>
      <c r="B43" t="s">
        <v>348</v>
      </c>
      <c r="C43" t="s">
        <v>35</v>
      </c>
      <c r="D43" t="s">
        <v>342</v>
      </c>
      <c r="E43" s="61">
        <v>50000</v>
      </c>
      <c r="F43" s="61">
        <v>0</v>
      </c>
      <c r="G43" s="56" t="str">
        <f>TEXT(TablaGastos[[#This Row],[Orden]],"00")&amp;" "&amp;TablaGastos[[#This Row],[Semana]]</f>
        <v>04 01-06 Dic</v>
      </c>
      <c r="H43" s="56" t="str">
        <f>_xlfn.XLOOKUP(TablaGastos[[#This Row],[Semana]],Pivots!$U$2:$U$30,Pivots!$Y$2:$Y$30)</f>
        <v>2-Dic</v>
      </c>
    </row>
    <row r="44" spans="1:8" x14ac:dyDescent="0.3">
      <c r="A44">
        <v>4</v>
      </c>
      <c r="B44" t="s">
        <v>348</v>
      </c>
      <c r="C44" t="s">
        <v>37</v>
      </c>
      <c r="D44" t="s">
        <v>342</v>
      </c>
      <c r="E44" s="61">
        <v>10000</v>
      </c>
      <c r="F44" s="61">
        <v>0</v>
      </c>
      <c r="G44" s="56" t="str">
        <f>TEXT(TablaGastos[[#This Row],[Orden]],"00")&amp;" "&amp;TablaGastos[[#This Row],[Semana]]</f>
        <v>04 01-06 Dic</v>
      </c>
      <c r="H44" s="56" t="str">
        <f>_xlfn.XLOOKUP(TablaGastos[[#This Row],[Semana]],Pivots!$U$2:$U$30,Pivots!$Y$2:$Y$30)</f>
        <v>2-Dic</v>
      </c>
    </row>
    <row r="45" spans="1:8" x14ac:dyDescent="0.3">
      <c r="A45">
        <v>4</v>
      </c>
      <c r="B45" t="s">
        <v>348</v>
      </c>
      <c r="C45" t="s">
        <v>7</v>
      </c>
      <c r="D45" t="s">
        <v>421</v>
      </c>
      <c r="E45" s="61">
        <v>2784</v>
      </c>
      <c r="F45" s="61">
        <v>3000</v>
      </c>
      <c r="G45" s="56" t="str">
        <f>TEXT(TablaGastos[[#This Row],[Orden]],"00")&amp;" "&amp;TablaGastos[[#This Row],[Semana]]</f>
        <v>04 01-06 Dic</v>
      </c>
      <c r="H45" s="56" t="str">
        <f>_xlfn.XLOOKUP(TablaGastos[[#This Row],[Semana]],Pivots!$U$2:$U$30,Pivots!$Y$2:$Y$30)</f>
        <v>2-Dic</v>
      </c>
    </row>
    <row r="46" spans="1:8" x14ac:dyDescent="0.3">
      <c r="A46">
        <v>4</v>
      </c>
      <c r="B46" t="s">
        <v>348</v>
      </c>
      <c r="C46" t="s">
        <v>38</v>
      </c>
      <c r="D46" t="s">
        <v>421</v>
      </c>
      <c r="E46" s="61">
        <v>0</v>
      </c>
      <c r="F46" s="61">
        <v>9000</v>
      </c>
      <c r="G46" s="56" t="str">
        <f>TEXT(TablaGastos[[#This Row],[Orden]],"00")&amp;" "&amp;TablaGastos[[#This Row],[Semana]]</f>
        <v>04 01-06 Dic</v>
      </c>
      <c r="H46" s="56" t="str">
        <f>_xlfn.XLOOKUP(TablaGastos[[#This Row],[Semana]],Pivots!$U$2:$U$30,Pivots!$Y$2:$Y$30)</f>
        <v>2-Dic</v>
      </c>
    </row>
    <row r="47" spans="1:8" x14ac:dyDescent="0.3">
      <c r="A47">
        <v>4</v>
      </c>
      <c r="B47" t="s">
        <v>348</v>
      </c>
      <c r="C47" t="s">
        <v>40</v>
      </c>
      <c r="D47" t="s">
        <v>421</v>
      </c>
      <c r="E47" s="61">
        <v>0</v>
      </c>
      <c r="F47" s="61">
        <v>2500</v>
      </c>
      <c r="G47" s="56" t="str">
        <f>TEXT(TablaGastos[[#This Row],[Orden]],"00")&amp;" "&amp;TablaGastos[[#This Row],[Semana]]</f>
        <v>04 01-06 Dic</v>
      </c>
      <c r="H47" s="56" t="str">
        <f>_xlfn.XLOOKUP(TablaGastos[[#This Row],[Semana]],Pivots!$U$2:$U$30,Pivots!$Y$2:$Y$30)</f>
        <v>2-Dic</v>
      </c>
    </row>
    <row r="48" spans="1:8" x14ac:dyDescent="0.3">
      <c r="A48">
        <v>4</v>
      </c>
      <c r="B48" t="s">
        <v>348</v>
      </c>
      <c r="C48" t="s">
        <v>41</v>
      </c>
      <c r="D48" t="s">
        <v>342</v>
      </c>
      <c r="E48" s="61">
        <v>15000</v>
      </c>
      <c r="F48" s="61">
        <v>0</v>
      </c>
      <c r="G48" s="56" t="str">
        <f>TEXT(TablaGastos[[#This Row],[Orden]],"00")&amp;" "&amp;TablaGastos[[#This Row],[Semana]]</f>
        <v>04 01-06 Dic</v>
      </c>
      <c r="H48" s="56" t="str">
        <f>_xlfn.XLOOKUP(TablaGastos[[#This Row],[Semana]],Pivots!$U$2:$U$30,Pivots!$Y$2:$Y$30)</f>
        <v>2-Dic</v>
      </c>
    </row>
    <row r="49" spans="1:8" x14ac:dyDescent="0.3">
      <c r="A49">
        <v>4</v>
      </c>
      <c r="B49" t="s">
        <v>348</v>
      </c>
      <c r="C49" t="s">
        <v>48</v>
      </c>
      <c r="D49" t="s">
        <v>342</v>
      </c>
      <c r="E49" s="61">
        <v>0</v>
      </c>
      <c r="F49" s="61">
        <v>20300</v>
      </c>
      <c r="G49" s="56" t="str">
        <f>TEXT(TablaGastos[[#This Row],[Orden]],"00")&amp;" "&amp;TablaGastos[[#This Row],[Semana]]</f>
        <v>04 01-06 Dic</v>
      </c>
      <c r="H49" s="56" t="str">
        <f>_xlfn.XLOOKUP(TablaGastos[[#This Row],[Semana]],Pivots!$U$2:$U$30,Pivots!$Y$2:$Y$30)</f>
        <v>2-Dic</v>
      </c>
    </row>
    <row r="50" spans="1:8" x14ac:dyDescent="0.3">
      <c r="A50">
        <v>4</v>
      </c>
      <c r="B50" t="s">
        <v>348</v>
      </c>
      <c r="C50" t="s">
        <v>49</v>
      </c>
      <c r="D50" t="s">
        <v>342</v>
      </c>
      <c r="E50" s="61">
        <v>0</v>
      </c>
      <c r="F50" s="61">
        <v>20000</v>
      </c>
      <c r="G50" s="56" t="str">
        <f>TEXT(TablaGastos[[#This Row],[Orden]],"00")&amp;" "&amp;TablaGastos[[#This Row],[Semana]]</f>
        <v>04 01-06 Dic</v>
      </c>
      <c r="H50" s="56" t="str">
        <f>_xlfn.XLOOKUP(TablaGastos[[#This Row],[Semana]],Pivots!$U$2:$U$30,Pivots!$Y$2:$Y$30)</f>
        <v>2-Dic</v>
      </c>
    </row>
    <row r="51" spans="1:8" x14ac:dyDescent="0.3">
      <c r="A51">
        <v>4</v>
      </c>
      <c r="B51" t="s">
        <v>348</v>
      </c>
      <c r="C51" t="s">
        <v>81</v>
      </c>
      <c r="D51" t="s">
        <v>421</v>
      </c>
      <c r="E51" s="61">
        <v>10000</v>
      </c>
      <c r="F51" s="61">
        <v>0</v>
      </c>
      <c r="G51" s="56" t="str">
        <f>TEXT(TablaGastos[[#This Row],[Orden]],"00")&amp;" "&amp;TablaGastos[[#This Row],[Semana]]</f>
        <v>04 01-06 Dic</v>
      </c>
      <c r="H51" s="56" t="str">
        <f>_xlfn.XLOOKUP(TablaGastos[[#This Row],[Semana]],Pivots!$U$2:$U$30,Pivots!$Y$2:$Y$30)</f>
        <v>2-Dic</v>
      </c>
    </row>
    <row r="52" spans="1:8" x14ac:dyDescent="0.3">
      <c r="A52">
        <v>4</v>
      </c>
      <c r="B52" t="s">
        <v>348</v>
      </c>
      <c r="C52" t="s">
        <v>86</v>
      </c>
      <c r="D52" t="s">
        <v>422</v>
      </c>
      <c r="E52" s="61">
        <v>0</v>
      </c>
      <c r="F52" s="61">
        <v>7350</v>
      </c>
      <c r="G52" s="56" t="str">
        <f>TEXT(TablaGastos[[#This Row],[Orden]],"00")&amp;" "&amp;TablaGastos[[#This Row],[Semana]]</f>
        <v>04 01-06 Dic</v>
      </c>
      <c r="H52" s="56" t="str">
        <f>_xlfn.XLOOKUP(TablaGastos[[#This Row],[Semana]],Pivots!$U$2:$U$30,Pivots!$Y$2:$Y$30)</f>
        <v>2-Dic</v>
      </c>
    </row>
    <row r="53" spans="1:8" x14ac:dyDescent="0.3">
      <c r="A53">
        <v>4</v>
      </c>
      <c r="B53" t="s">
        <v>348</v>
      </c>
      <c r="C53" t="s">
        <v>87</v>
      </c>
      <c r="D53" t="s">
        <v>344</v>
      </c>
      <c r="E53" s="61">
        <v>0</v>
      </c>
      <c r="F53" s="61">
        <v>12000</v>
      </c>
      <c r="G53" s="56" t="str">
        <f>TEXT(TablaGastos[[#This Row],[Orden]],"00")&amp;" "&amp;TablaGastos[[#This Row],[Semana]]</f>
        <v>04 01-06 Dic</v>
      </c>
      <c r="H53" s="56" t="str">
        <f>_xlfn.XLOOKUP(TablaGastos[[#This Row],[Semana]],Pivots!$U$2:$U$30,Pivots!$Y$2:$Y$30)</f>
        <v>2-Dic</v>
      </c>
    </row>
    <row r="54" spans="1:8" x14ac:dyDescent="0.3">
      <c r="A54">
        <v>5</v>
      </c>
      <c r="B54" t="s">
        <v>349</v>
      </c>
      <c r="C54" t="s">
        <v>30</v>
      </c>
      <c r="D54" t="s">
        <v>342</v>
      </c>
      <c r="E54" s="61">
        <v>115000</v>
      </c>
      <c r="F54" s="61">
        <v>0</v>
      </c>
      <c r="G54" s="56" t="str">
        <f>TEXT(TablaGastos[[#This Row],[Orden]],"00")&amp;" "&amp;TablaGastos[[#This Row],[Semana]]</f>
        <v>05 08-13 Dic</v>
      </c>
      <c r="H54" s="56" t="str">
        <f>_xlfn.XLOOKUP(TablaGastos[[#This Row],[Semana]],Pivots!$U$2:$U$30,Pivots!$Y$2:$Y$30)</f>
        <v>2-Dic</v>
      </c>
    </row>
    <row r="55" spans="1:8" x14ac:dyDescent="0.3">
      <c r="A55">
        <v>5</v>
      </c>
      <c r="B55" t="s">
        <v>349</v>
      </c>
      <c r="C55" t="s">
        <v>2</v>
      </c>
      <c r="D55" t="s">
        <v>342</v>
      </c>
      <c r="E55" s="61">
        <v>0</v>
      </c>
      <c r="F55" s="61">
        <v>50000</v>
      </c>
      <c r="G55" s="56" t="str">
        <f>TEXT(TablaGastos[[#This Row],[Orden]],"00")&amp;" "&amp;TablaGastos[[#This Row],[Semana]]</f>
        <v>05 08-13 Dic</v>
      </c>
      <c r="H55" s="56" t="str">
        <f>_xlfn.XLOOKUP(TablaGastos[[#This Row],[Semana]],Pivots!$U$2:$U$30,Pivots!$Y$2:$Y$30)</f>
        <v>2-Dic</v>
      </c>
    </row>
    <row r="56" spans="1:8" x14ac:dyDescent="0.3">
      <c r="A56">
        <v>5</v>
      </c>
      <c r="B56" t="s">
        <v>349</v>
      </c>
      <c r="C56" t="s">
        <v>73</v>
      </c>
      <c r="D56" t="s">
        <v>422</v>
      </c>
      <c r="E56" s="61">
        <v>5000</v>
      </c>
      <c r="F56" s="61">
        <v>0</v>
      </c>
      <c r="G56" s="56" t="str">
        <f>TEXT(TablaGastos[[#This Row],[Orden]],"00")&amp;" "&amp;TablaGastos[[#This Row],[Semana]]</f>
        <v>05 08-13 Dic</v>
      </c>
      <c r="H56" s="56" t="str">
        <f>_xlfn.XLOOKUP(TablaGastos[[#This Row],[Semana]],Pivots!$U$2:$U$30,Pivots!$Y$2:$Y$30)</f>
        <v>2-Dic</v>
      </c>
    </row>
    <row r="57" spans="1:8" x14ac:dyDescent="0.3">
      <c r="A57">
        <v>5</v>
      </c>
      <c r="B57" t="s">
        <v>349</v>
      </c>
      <c r="C57" t="s">
        <v>35</v>
      </c>
      <c r="D57" t="s">
        <v>342</v>
      </c>
      <c r="E57" s="61">
        <v>0</v>
      </c>
      <c r="F57" s="61">
        <v>50000</v>
      </c>
      <c r="G57" s="56" t="str">
        <f>TEXT(TablaGastos[[#This Row],[Orden]],"00")&amp;" "&amp;TablaGastos[[#This Row],[Semana]]</f>
        <v>05 08-13 Dic</v>
      </c>
      <c r="H57" s="56" t="str">
        <f>_xlfn.XLOOKUP(TablaGastos[[#This Row],[Semana]],Pivots!$U$2:$U$30,Pivots!$Y$2:$Y$30)</f>
        <v>2-Dic</v>
      </c>
    </row>
    <row r="58" spans="1:8" x14ac:dyDescent="0.3">
      <c r="A58">
        <v>5</v>
      </c>
      <c r="B58" t="s">
        <v>349</v>
      </c>
      <c r="C58" t="s">
        <v>37</v>
      </c>
      <c r="D58" t="s">
        <v>342</v>
      </c>
      <c r="E58" s="61">
        <v>10000</v>
      </c>
      <c r="F58" s="61">
        <v>0</v>
      </c>
      <c r="G58" s="56" t="str">
        <f>TEXT(TablaGastos[[#This Row],[Orden]],"00")&amp;" "&amp;TablaGastos[[#This Row],[Semana]]</f>
        <v>05 08-13 Dic</v>
      </c>
      <c r="H58" s="56" t="str">
        <f>_xlfn.XLOOKUP(TablaGastos[[#This Row],[Semana]],Pivots!$U$2:$U$30,Pivots!$Y$2:$Y$30)</f>
        <v>2-Dic</v>
      </c>
    </row>
    <row r="59" spans="1:8" x14ac:dyDescent="0.3">
      <c r="A59">
        <v>5</v>
      </c>
      <c r="B59" t="s">
        <v>349</v>
      </c>
      <c r="C59" t="s">
        <v>7</v>
      </c>
      <c r="D59" t="s">
        <v>421</v>
      </c>
      <c r="E59" s="61">
        <v>0</v>
      </c>
      <c r="F59" s="61">
        <v>5568</v>
      </c>
      <c r="G59" s="56" t="str">
        <f>TEXT(TablaGastos[[#This Row],[Orden]],"00")&amp;" "&amp;TablaGastos[[#This Row],[Semana]]</f>
        <v>05 08-13 Dic</v>
      </c>
      <c r="H59" s="56" t="str">
        <f>_xlfn.XLOOKUP(TablaGastos[[#This Row],[Semana]],Pivots!$U$2:$U$30,Pivots!$Y$2:$Y$30)</f>
        <v>2-Dic</v>
      </c>
    </row>
    <row r="60" spans="1:8" x14ac:dyDescent="0.3">
      <c r="A60">
        <v>5</v>
      </c>
      <c r="B60" t="s">
        <v>349</v>
      </c>
      <c r="C60" t="s">
        <v>38</v>
      </c>
      <c r="D60" t="s">
        <v>421</v>
      </c>
      <c r="E60" s="61">
        <v>0</v>
      </c>
      <c r="F60" s="61">
        <v>9000</v>
      </c>
      <c r="G60" s="56" t="str">
        <f>TEXT(TablaGastos[[#This Row],[Orden]],"00")&amp;" "&amp;TablaGastos[[#This Row],[Semana]]</f>
        <v>05 08-13 Dic</v>
      </c>
      <c r="H60" s="56" t="str">
        <f>_xlfn.XLOOKUP(TablaGastos[[#This Row],[Semana]],Pivots!$U$2:$U$30,Pivots!$Y$2:$Y$30)</f>
        <v>2-Dic</v>
      </c>
    </row>
    <row r="61" spans="1:8" x14ac:dyDescent="0.3">
      <c r="A61">
        <v>5</v>
      </c>
      <c r="B61" t="s">
        <v>349</v>
      </c>
      <c r="C61" t="s">
        <v>102</v>
      </c>
      <c r="D61" t="s">
        <v>342</v>
      </c>
      <c r="E61" s="61">
        <v>0</v>
      </c>
      <c r="F61" s="61">
        <v>12500</v>
      </c>
      <c r="G61" s="56" t="str">
        <f>TEXT(TablaGastos[[#This Row],[Orden]],"00")&amp;" "&amp;TablaGastos[[#This Row],[Semana]]</f>
        <v>05 08-13 Dic</v>
      </c>
      <c r="H61" s="56" t="str">
        <f>_xlfn.XLOOKUP(TablaGastos[[#This Row],[Semana]],Pivots!$U$2:$U$30,Pivots!$Y$2:$Y$30)</f>
        <v>2-Dic</v>
      </c>
    </row>
    <row r="62" spans="1:8" x14ac:dyDescent="0.3">
      <c r="A62">
        <v>5</v>
      </c>
      <c r="B62" t="s">
        <v>349</v>
      </c>
      <c r="C62" t="s">
        <v>40</v>
      </c>
      <c r="D62" t="s">
        <v>421</v>
      </c>
      <c r="E62" s="61">
        <v>0</v>
      </c>
      <c r="F62" s="61">
        <v>2500</v>
      </c>
      <c r="G62" s="56" t="str">
        <f>TEXT(TablaGastos[[#This Row],[Orden]],"00")&amp;" "&amp;TablaGastos[[#This Row],[Semana]]</f>
        <v>05 08-13 Dic</v>
      </c>
      <c r="H62" s="56" t="str">
        <f>_xlfn.XLOOKUP(TablaGastos[[#This Row],[Semana]],Pivots!$U$2:$U$30,Pivots!$Y$2:$Y$30)</f>
        <v>2-Dic</v>
      </c>
    </row>
    <row r="63" spans="1:8" x14ac:dyDescent="0.3">
      <c r="A63">
        <v>5</v>
      </c>
      <c r="B63" t="s">
        <v>349</v>
      </c>
      <c r="C63" t="s">
        <v>41</v>
      </c>
      <c r="D63" t="s">
        <v>342</v>
      </c>
      <c r="E63" s="61">
        <v>17000</v>
      </c>
      <c r="F63" s="61">
        <v>0</v>
      </c>
      <c r="G63" s="56" t="str">
        <f>TEXT(TablaGastos[[#This Row],[Orden]],"00")&amp;" "&amp;TablaGastos[[#This Row],[Semana]]</f>
        <v>05 08-13 Dic</v>
      </c>
      <c r="H63" s="56" t="str">
        <f>_xlfn.XLOOKUP(TablaGastos[[#This Row],[Semana]],Pivots!$U$2:$U$30,Pivots!$Y$2:$Y$30)</f>
        <v>2-Dic</v>
      </c>
    </row>
    <row r="64" spans="1:8" x14ac:dyDescent="0.3">
      <c r="A64">
        <v>5</v>
      </c>
      <c r="B64" t="s">
        <v>349</v>
      </c>
      <c r="C64" t="s">
        <v>48</v>
      </c>
      <c r="D64" t="s">
        <v>342</v>
      </c>
      <c r="E64" s="61">
        <v>0</v>
      </c>
      <c r="F64" s="61">
        <v>49247.8</v>
      </c>
      <c r="G64" s="56" t="str">
        <f>TEXT(TablaGastos[[#This Row],[Orden]],"00")&amp;" "&amp;TablaGastos[[#This Row],[Semana]]</f>
        <v>05 08-13 Dic</v>
      </c>
      <c r="H64" s="56" t="str">
        <f>_xlfn.XLOOKUP(TablaGastos[[#This Row],[Semana]],Pivots!$U$2:$U$30,Pivots!$Y$2:$Y$30)</f>
        <v>2-Dic</v>
      </c>
    </row>
    <row r="65" spans="1:8" x14ac:dyDescent="0.3">
      <c r="A65">
        <v>5</v>
      </c>
      <c r="B65" t="s">
        <v>349</v>
      </c>
      <c r="C65" t="s">
        <v>51</v>
      </c>
      <c r="D65" t="s">
        <v>342</v>
      </c>
      <c r="E65" s="61">
        <v>0</v>
      </c>
      <c r="F65" s="61">
        <v>22846.25</v>
      </c>
      <c r="G65" s="56" t="str">
        <f>TEXT(TablaGastos[[#This Row],[Orden]],"00")&amp;" "&amp;TablaGastos[[#This Row],[Semana]]</f>
        <v>05 08-13 Dic</v>
      </c>
      <c r="H65" s="56" t="str">
        <f>_xlfn.XLOOKUP(TablaGastos[[#This Row],[Semana]],Pivots!$U$2:$U$30,Pivots!$Y$2:$Y$30)</f>
        <v>2-Dic</v>
      </c>
    </row>
    <row r="66" spans="1:8" x14ac:dyDescent="0.3">
      <c r="A66">
        <v>5</v>
      </c>
      <c r="B66" t="s">
        <v>349</v>
      </c>
      <c r="C66" t="s">
        <v>86</v>
      </c>
      <c r="D66" t="s">
        <v>422</v>
      </c>
      <c r="E66" s="61">
        <v>0</v>
      </c>
      <c r="F66" s="61">
        <v>7350</v>
      </c>
      <c r="G66" s="56" t="str">
        <f>TEXT(TablaGastos[[#This Row],[Orden]],"00")&amp;" "&amp;TablaGastos[[#This Row],[Semana]]</f>
        <v>05 08-13 Dic</v>
      </c>
      <c r="H66" s="56" t="str">
        <f>_xlfn.XLOOKUP(TablaGastos[[#This Row],[Semana]],Pivots!$U$2:$U$30,Pivots!$Y$2:$Y$30)</f>
        <v>2-Dic</v>
      </c>
    </row>
    <row r="67" spans="1:8" x14ac:dyDescent="0.3">
      <c r="A67">
        <v>5</v>
      </c>
      <c r="B67" t="s">
        <v>349</v>
      </c>
      <c r="C67" t="s">
        <v>104</v>
      </c>
      <c r="D67" t="s">
        <v>422</v>
      </c>
      <c r="E67" s="61">
        <v>19604</v>
      </c>
      <c r="F67" s="61">
        <v>0</v>
      </c>
      <c r="G67" s="56" t="str">
        <f>TEXT(TablaGastos[[#This Row],[Orden]],"00")&amp;" "&amp;TablaGastos[[#This Row],[Semana]]</f>
        <v>05 08-13 Dic</v>
      </c>
      <c r="H67" s="56" t="str">
        <f>_xlfn.XLOOKUP(TablaGastos[[#This Row],[Semana]],Pivots!$U$2:$U$30,Pivots!$Y$2:$Y$30)</f>
        <v>2-Dic</v>
      </c>
    </row>
    <row r="68" spans="1:8" x14ac:dyDescent="0.3">
      <c r="A68">
        <v>5</v>
      </c>
      <c r="B68" t="s">
        <v>349</v>
      </c>
      <c r="C68" t="s">
        <v>105</v>
      </c>
      <c r="D68" t="s">
        <v>344</v>
      </c>
      <c r="E68" s="61">
        <v>280000</v>
      </c>
      <c r="F68" s="61">
        <v>85000</v>
      </c>
      <c r="G68" s="56" t="str">
        <f>TEXT(TablaGastos[[#This Row],[Orden]],"00")&amp;" "&amp;TablaGastos[[#This Row],[Semana]]</f>
        <v>05 08-13 Dic</v>
      </c>
      <c r="H68" s="56" t="str">
        <f>_xlfn.XLOOKUP(TablaGastos[[#This Row],[Semana]],Pivots!$U$2:$U$30,Pivots!$Y$2:$Y$30)</f>
        <v>2-Dic</v>
      </c>
    </row>
    <row r="69" spans="1:8" x14ac:dyDescent="0.3">
      <c r="A69">
        <v>6</v>
      </c>
      <c r="B69" t="s">
        <v>350</v>
      </c>
      <c r="C69" t="s">
        <v>30</v>
      </c>
      <c r="D69" t="s">
        <v>342</v>
      </c>
      <c r="E69" s="61">
        <v>125038</v>
      </c>
      <c r="F69" s="61">
        <v>0</v>
      </c>
      <c r="G69" s="56" t="str">
        <f>TEXT(TablaGastos[[#This Row],[Orden]],"00")&amp;" "&amp;TablaGastos[[#This Row],[Semana]]</f>
        <v>06 15-20 Dic</v>
      </c>
      <c r="H69" s="56" t="str">
        <f>_xlfn.XLOOKUP(TablaGastos[[#This Row],[Semana]],Pivots!$U$2:$U$30,Pivots!$Y$2:$Y$30)</f>
        <v>2-Dic</v>
      </c>
    </row>
    <row r="70" spans="1:8" x14ac:dyDescent="0.3">
      <c r="A70">
        <v>6</v>
      </c>
      <c r="B70" t="s">
        <v>350</v>
      </c>
      <c r="C70" t="s">
        <v>2</v>
      </c>
      <c r="D70" t="s">
        <v>342</v>
      </c>
      <c r="E70" s="61">
        <v>0</v>
      </c>
      <c r="F70" s="61">
        <v>50000</v>
      </c>
      <c r="G70" s="56" t="str">
        <f>TEXT(TablaGastos[[#This Row],[Orden]],"00")&amp;" "&amp;TablaGastos[[#This Row],[Semana]]</f>
        <v>06 15-20 Dic</v>
      </c>
      <c r="H70" s="56" t="str">
        <f>_xlfn.XLOOKUP(TablaGastos[[#This Row],[Semana]],Pivots!$U$2:$U$30,Pivots!$Y$2:$Y$30)</f>
        <v>2-Dic</v>
      </c>
    </row>
    <row r="71" spans="1:8" x14ac:dyDescent="0.3">
      <c r="A71">
        <v>6</v>
      </c>
      <c r="B71" t="s">
        <v>350</v>
      </c>
      <c r="C71" t="s">
        <v>35</v>
      </c>
      <c r="D71" t="s">
        <v>342</v>
      </c>
      <c r="E71" s="61">
        <v>50000</v>
      </c>
      <c r="F71" s="61">
        <v>0</v>
      </c>
      <c r="G71" s="56" t="str">
        <f>TEXT(TablaGastos[[#This Row],[Orden]],"00")&amp;" "&amp;TablaGastos[[#This Row],[Semana]]</f>
        <v>06 15-20 Dic</v>
      </c>
      <c r="H71" s="56" t="str">
        <f>_xlfn.XLOOKUP(TablaGastos[[#This Row],[Semana]],Pivots!$U$2:$U$30,Pivots!$Y$2:$Y$30)</f>
        <v>2-Dic</v>
      </c>
    </row>
    <row r="72" spans="1:8" x14ac:dyDescent="0.3">
      <c r="A72">
        <v>6</v>
      </c>
      <c r="B72" t="s">
        <v>350</v>
      </c>
      <c r="C72" t="s">
        <v>37</v>
      </c>
      <c r="D72" t="s">
        <v>342</v>
      </c>
      <c r="E72" s="61">
        <v>10000</v>
      </c>
      <c r="F72" s="61">
        <v>0</v>
      </c>
      <c r="G72" s="56" t="str">
        <f>TEXT(TablaGastos[[#This Row],[Orden]],"00")&amp;" "&amp;TablaGastos[[#This Row],[Semana]]</f>
        <v>06 15-20 Dic</v>
      </c>
      <c r="H72" s="56" t="str">
        <f>_xlfn.XLOOKUP(TablaGastos[[#This Row],[Semana]],Pivots!$U$2:$U$30,Pivots!$Y$2:$Y$30)</f>
        <v>2-Dic</v>
      </c>
    </row>
    <row r="73" spans="1:8" x14ac:dyDescent="0.3">
      <c r="A73">
        <v>6</v>
      </c>
      <c r="B73" t="s">
        <v>350</v>
      </c>
      <c r="C73" t="s">
        <v>7</v>
      </c>
      <c r="D73" t="s">
        <v>421</v>
      </c>
      <c r="E73" s="61">
        <v>0</v>
      </c>
      <c r="F73" s="61">
        <v>5568</v>
      </c>
      <c r="G73" s="56" t="str">
        <f>TEXT(TablaGastos[[#This Row],[Orden]],"00")&amp;" "&amp;TablaGastos[[#This Row],[Semana]]</f>
        <v>06 15-20 Dic</v>
      </c>
      <c r="H73" s="56" t="str">
        <f>_xlfn.XLOOKUP(TablaGastos[[#This Row],[Semana]],Pivots!$U$2:$U$30,Pivots!$Y$2:$Y$30)</f>
        <v>2-Dic</v>
      </c>
    </row>
    <row r="74" spans="1:8" x14ac:dyDescent="0.3">
      <c r="A74">
        <v>6</v>
      </c>
      <c r="B74" t="s">
        <v>350</v>
      </c>
      <c r="C74" t="s">
        <v>38</v>
      </c>
      <c r="D74" t="s">
        <v>421</v>
      </c>
      <c r="E74" s="61">
        <v>0</v>
      </c>
      <c r="F74" s="61">
        <v>9000</v>
      </c>
      <c r="G74" s="56" t="str">
        <f>TEXT(TablaGastos[[#This Row],[Orden]],"00")&amp;" "&amp;TablaGastos[[#This Row],[Semana]]</f>
        <v>06 15-20 Dic</v>
      </c>
      <c r="H74" s="56" t="str">
        <f>_xlfn.XLOOKUP(TablaGastos[[#This Row],[Semana]],Pivots!$U$2:$U$30,Pivots!$Y$2:$Y$30)</f>
        <v>2-Dic</v>
      </c>
    </row>
    <row r="75" spans="1:8" x14ac:dyDescent="0.3">
      <c r="A75">
        <v>6</v>
      </c>
      <c r="B75" t="s">
        <v>350</v>
      </c>
      <c r="C75" t="s">
        <v>102</v>
      </c>
      <c r="D75" t="s">
        <v>342</v>
      </c>
      <c r="E75" s="61">
        <v>0</v>
      </c>
      <c r="F75" s="61">
        <v>12500</v>
      </c>
      <c r="G75" s="56" t="str">
        <f>TEXT(TablaGastos[[#This Row],[Orden]],"00")&amp;" "&amp;TablaGastos[[#This Row],[Semana]]</f>
        <v>06 15-20 Dic</v>
      </c>
      <c r="H75" s="56" t="str">
        <f>_xlfn.XLOOKUP(TablaGastos[[#This Row],[Semana]],Pivots!$U$2:$U$30,Pivots!$Y$2:$Y$30)</f>
        <v>2-Dic</v>
      </c>
    </row>
    <row r="76" spans="1:8" x14ac:dyDescent="0.3">
      <c r="A76">
        <v>6</v>
      </c>
      <c r="B76" t="s">
        <v>350</v>
      </c>
      <c r="C76" t="s">
        <v>40</v>
      </c>
      <c r="D76" t="s">
        <v>421</v>
      </c>
      <c r="E76" s="61">
        <v>0</v>
      </c>
      <c r="F76" s="61">
        <v>2500</v>
      </c>
      <c r="G76" s="56" t="str">
        <f>TEXT(TablaGastos[[#This Row],[Orden]],"00")&amp;" "&amp;TablaGastos[[#This Row],[Semana]]</f>
        <v>06 15-20 Dic</v>
      </c>
      <c r="H76" s="56" t="str">
        <f>_xlfn.XLOOKUP(TablaGastos[[#This Row],[Semana]],Pivots!$U$2:$U$30,Pivots!$Y$2:$Y$30)</f>
        <v>2-Dic</v>
      </c>
    </row>
    <row r="77" spans="1:8" x14ac:dyDescent="0.3">
      <c r="A77">
        <v>6</v>
      </c>
      <c r="B77" t="s">
        <v>350</v>
      </c>
      <c r="C77" t="s">
        <v>41</v>
      </c>
      <c r="D77" t="s">
        <v>342</v>
      </c>
      <c r="E77" s="61">
        <v>13000</v>
      </c>
      <c r="F77" s="61">
        <v>0</v>
      </c>
      <c r="G77" s="56" t="str">
        <f>TEXT(TablaGastos[[#This Row],[Orden]],"00")&amp;" "&amp;TablaGastos[[#This Row],[Semana]]</f>
        <v>06 15-20 Dic</v>
      </c>
      <c r="H77" s="56" t="str">
        <f>_xlfn.XLOOKUP(TablaGastos[[#This Row],[Semana]],Pivots!$U$2:$U$30,Pivots!$Y$2:$Y$30)</f>
        <v>2-Dic</v>
      </c>
    </row>
    <row r="78" spans="1:8" x14ac:dyDescent="0.3">
      <c r="A78">
        <v>6</v>
      </c>
      <c r="B78" t="s">
        <v>350</v>
      </c>
      <c r="C78" t="s">
        <v>48</v>
      </c>
      <c r="D78" t="s">
        <v>342</v>
      </c>
      <c r="E78" s="61">
        <v>0</v>
      </c>
      <c r="F78" s="61">
        <v>49247.8</v>
      </c>
      <c r="G78" s="56" t="str">
        <f>TEXT(TablaGastos[[#This Row],[Orden]],"00")&amp;" "&amp;TablaGastos[[#This Row],[Semana]]</f>
        <v>06 15-20 Dic</v>
      </c>
      <c r="H78" s="56" t="str">
        <f>_xlfn.XLOOKUP(TablaGastos[[#This Row],[Semana]],Pivots!$U$2:$U$30,Pivots!$Y$2:$Y$30)</f>
        <v>2-Dic</v>
      </c>
    </row>
    <row r="79" spans="1:8" x14ac:dyDescent="0.3">
      <c r="A79">
        <v>6</v>
      </c>
      <c r="B79" t="s">
        <v>350</v>
      </c>
      <c r="C79" t="s">
        <v>51</v>
      </c>
      <c r="D79" t="s">
        <v>342</v>
      </c>
      <c r="E79" s="61">
        <v>0</v>
      </c>
      <c r="F79" s="61">
        <v>22846.25</v>
      </c>
      <c r="G79" s="56" t="str">
        <f>TEXT(TablaGastos[[#This Row],[Orden]],"00")&amp;" "&amp;TablaGastos[[#This Row],[Semana]]</f>
        <v>06 15-20 Dic</v>
      </c>
      <c r="H79" s="56" t="str">
        <f>_xlfn.XLOOKUP(TablaGastos[[#This Row],[Semana]],Pivots!$U$2:$U$30,Pivots!$Y$2:$Y$30)</f>
        <v>2-Dic</v>
      </c>
    </row>
    <row r="80" spans="1:8" x14ac:dyDescent="0.3">
      <c r="A80">
        <v>6</v>
      </c>
      <c r="B80" t="s">
        <v>350</v>
      </c>
      <c r="C80" t="s">
        <v>53</v>
      </c>
      <c r="D80" t="s">
        <v>422</v>
      </c>
      <c r="E80" s="61">
        <v>12000</v>
      </c>
      <c r="F80" s="61">
        <v>0</v>
      </c>
      <c r="G80" s="56" t="str">
        <f>TEXT(TablaGastos[[#This Row],[Orden]],"00")&amp;" "&amp;TablaGastos[[#This Row],[Semana]]</f>
        <v>06 15-20 Dic</v>
      </c>
      <c r="H80" s="56" t="str">
        <f>_xlfn.XLOOKUP(TablaGastos[[#This Row],[Semana]],Pivots!$U$2:$U$30,Pivots!$Y$2:$Y$30)</f>
        <v>2-Dic</v>
      </c>
    </row>
    <row r="81" spans="1:8" x14ac:dyDescent="0.3">
      <c r="A81">
        <v>6</v>
      </c>
      <c r="B81" t="s">
        <v>350</v>
      </c>
      <c r="C81" t="s">
        <v>107</v>
      </c>
      <c r="D81" t="s">
        <v>421</v>
      </c>
      <c r="E81" s="61">
        <v>9588.2800000000007</v>
      </c>
      <c r="F81" s="61">
        <v>0</v>
      </c>
      <c r="G81" s="56" t="str">
        <f>TEXT(TablaGastos[[#This Row],[Orden]],"00")&amp;" "&amp;TablaGastos[[#This Row],[Semana]]</f>
        <v>06 15-20 Dic</v>
      </c>
      <c r="H81" s="56" t="str">
        <f>_xlfn.XLOOKUP(TablaGastos[[#This Row],[Semana]],Pivots!$U$2:$U$30,Pivots!$Y$2:$Y$30)</f>
        <v>2-Dic</v>
      </c>
    </row>
    <row r="82" spans="1:8" x14ac:dyDescent="0.3">
      <c r="A82">
        <v>6</v>
      </c>
      <c r="B82" t="s">
        <v>350</v>
      </c>
      <c r="C82" t="s">
        <v>55</v>
      </c>
      <c r="D82" t="s">
        <v>342</v>
      </c>
      <c r="E82" s="61">
        <v>28500</v>
      </c>
      <c r="F82" s="61">
        <v>0</v>
      </c>
      <c r="G82" s="56" t="str">
        <f>TEXT(TablaGastos[[#This Row],[Orden]],"00")&amp;" "&amp;TablaGastos[[#This Row],[Semana]]</f>
        <v>06 15-20 Dic</v>
      </c>
      <c r="H82" s="56" t="str">
        <f>_xlfn.XLOOKUP(TablaGastos[[#This Row],[Semana]],Pivots!$U$2:$U$30,Pivots!$Y$2:$Y$30)</f>
        <v>2-Dic</v>
      </c>
    </row>
    <row r="83" spans="1:8" x14ac:dyDescent="0.3">
      <c r="A83">
        <v>6</v>
      </c>
      <c r="B83" t="s">
        <v>350</v>
      </c>
      <c r="C83" t="s">
        <v>55</v>
      </c>
      <c r="D83" t="s">
        <v>342</v>
      </c>
      <c r="E83" s="61">
        <v>10200</v>
      </c>
      <c r="F83" s="61">
        <v>0</v>
      </c>
      <c r="G83" s="56" t="str">
        <f>TEXT(TablaGastos[[#This Row],[Orden]],"00")&amp;" "&amp;TablaGastos[[#This Row],[Semana]]</f>
        <v>06 15-20 Dic</v>
      </c>
      <c r="H83" s="56" t="str">
        <f>_xlfn.XLOOKUP(TablaGastos[[#This Row],[Semana]],Pivots!$U$2:$U$30,Pivots!$Y$2:$Y$30)</f>
        <v>2-Dic</v>
      </c>
    </row>
    <row r="84" spans="1:8" x14ac:dyDescent="0.3">
      <c r="A84">
        <v>6</v>
      </c>
      <c r="B84" t="s">
        <v>350</v>
      </c>
      <c r="C84" t="s">
        <v>86</v>
      </c>
      <c r="D84" t="s">
        <v>422</v>
      </c>
      <c r="E84" s="61">
        <v>8000</v>
      </c>
      <c r="F84" s="61">
        <v>7350</v>
      </c>
      <c r="G84" s="56" t="str">
        <f>TEXT(TablaGastos[[#This Row],[Orden]],"00")&amp;" "&amp;TablaGastos[[#This Row],[Semana]]</f>
        <v>06 15-20 Dic</v>
      </c>
      <c r="H84" s="56" t="str">
        <f>_xlfn.XLOOKUP(TablaGastos[[#This Row],[Semana]],Pivots!$U$2:$U$30,Pivots!$Y$2:$Y$30)</f>
        <v>2-Dic</v>
      </c>
    </row>
    <row r="85" spans="1:8" x14ac:dyDescent="0.3">
      <c r="A85">
        <v>6</v>
      </c>
      <c r="B85" t="s">
        <v>350</v>
      </c>
      <c r="C85" t="s">
        <v>104</v>
      </c>
      <c r="D85" t="s">
        <v>422</v>
      </c>
      <c r="E85" s="61">
        <v>39208</v>
      </c>
      <c r="F85" s="61">
        <v>0</v>
      </c>
      <c r="G85" s="56" t="str">
        <f>TEXT(TablaGastos[[#This Row],[Orden]],"00")&amp;" "&amp;TablaGastos[[#This Row],[Semana]]</f>
        <v>06 15-20 Dic</v>
      </c>
      <c r="H85" s="56" t="str">
        <f>_xlfn.XLOOKUP(TablaGastos[[#This Row],[Semana]],Pivots!$U$2:$U$30,Pivots!$Y$2:$Y$30)</f>
        <v>2-Dic</v>
      </c>
    </row>
    <row r="86" spans="1:8" x14ac:dyDescent="0.3">
      <c r="A86">
        <v>6</v>
      </c>
      <c r="B86" t="s">
        <v>350</v>
      </c>
      <c r="C86" t="s">
        <v>108</v>
      </c>
      <c r="D86" t="s">
        <v>422</v>
      </c>
      <c r="E86" s="61">
        <v>3648.39</v>
      </c>
      <c r="F86" s="61">
        <v>0</v>
      </c>
      <c r="G86" s="56" t="str">
        <f>TEXT(TablaGastos[[#This Row],[Orden]],"00")&amp;" "&amp;TablaGastos[[#This Row],[Semana]]</f>
        <v>06 15-20 Dic</v>
      </c>
      <c r="H86" s="56" t="str">
        <f>_xlfn.XLOOKUP(TablaGastos[[#This Row],[Semana]],Pivots!$U$2:$U$30,Pivots!$Y$2:$Y$30)</f>
        <v>2-Dic</v>
      </c>
    </row>
    <row r="87" spans="1:8" x14ac:dyDescent="0.3">
      <c r="A87">
        <v>6</v>
      </c>
      <c r="B87" t="s">
        <v>350</v>
      </c>
      <c r="C87" t="s">
        <v>109</v>
      </c>
      <c r="D87" t="s">
        <v>344</v>
      </c>
      <c r="E87" s="61">
        <v>83200</v>
      </c>
      <c r="F87" s="61">
        <v>0</v>
      </c>
      <c r="G87" s="56" t="str">
        <f>TEXT(TablaGastos[[#This Row],[Orden]],"00")&amp;" "&amp;TablaGastos[[#This Row],[Semana]]</f>
        <v>06 15-20 Dic</v>
      </c>
      <c r="H87" s="56" t="str">
        <f>_xlfn.XLOOKUP(TablaGastos[[#This Row],[Semana]],Pivots!$U$2:$U$30,Pivots!$Y$2:$Y$30)</f>
        <v>2-Dic</v>
      </c>
    </row>
    <row r="88" spans="1:8" x14ac:dyDescent="0.3">
      <c r="A88">
        <v>7</v>
      </c>
      <c r="B88" t="s">
        <v>351</v>
      </c>
      <c r="C88" t="s">
        <v>30</v>
      </c>
      <c r="D88" t="s">
        <v>342</v>
      </c>
      <c r="E88" s="61">
        <v>104223</v>
      </c>
      <c r="F88" s="61">
        <v>0</v>
      </c>
      <c r="G88" s="56" t="str">
        <f>TEXT(TablaGastos[[#This Row],[Orden]],"00")&amp;" "&amp;TablaGastos[[#This Row],[Semana]]</f>
        <v>07 21-27 Dic</v>
      </c>
      <c r="H88" s="56" t="str">
        <f>_xlfn.XLOOKUP(TablaGastos[[#This Row],[Semana]],Pivots!$U$2:$U$30,Pivots!$Y$2:$Y$30)</f>
        <v>2-Dic</v>
      </c>
    </row>
    <row r="89" spans="1:8" x14ac:dyDescent="0.3">
      <c r="A89">
        <v>7</v>
      </c>
      <c r="B89" t="s">
        <v>351</v>
      </c>
      <c r="C89" t="s">
        <v>30</v>
      </c>
      <c r="D89" t="s">
        <v>342</v>
      </c>
      <c r="E89" s="61">
        <v>20000</v>
      </c>
      <c r="F89" s="61">
        <v>0</v>
      </c>
      <c r="G89" s="56" t="str">
        <f>TEXT(TablaGastos[[#This Row],[Orden]],"00")&amp;" "&amp;TablaGastos[[#This Row],[Semana]]</f>
        <v>07 21-27 Dic</v>
      </c>
      <c r="H89" s="56" t="str">
        <f>_xlfn.XLOOKUP(TablaGastos[[#This Row],[Semana]],Pivots!$U$2:$U$30,Pivots!$Y$2:$Y$30)</f>
        <v>2-Dic</v>
      </c>
    </row>
    <row r="90" spans="1:8" x14ac:dyDescent="0.3">
      <c r="A90">
        <v>7</v>
      </c>
      <c r="B90" t="s">
        <v>351</v>
      </c>
      <c r="C90" t="s">
        <v>35</v>
      </c>
      <c r="D90" t="s">
        <v>342</v>
      </c>
      <c r="E90" s="61">
        <v>60000</v>
      </c>
      <c r="F90" s="61">
        <v>0</v>
      </c>
      <c r="G90" s="56" t="str">
        <f>TEXT(TablaGastos[[#This Row],[Orden]],"00")&amp;" "&amp;TablaGastos[[#This Row],[Semana]]</f>
        <v>07 21-27 Dic</v>
      </c>
      <c r="H90" s="56" t="str">
        <f>_xlfn.XLOOKUP(TablaGastos[[#This Row],[Semana]],Pivots!$U$2:$U$30,Pivots!$Y$2:$Y$30)</f>
        <v>2-Dic</v>
      </c>
    </row>
    <row r="91" spans="1:8" x14ac:dyDescent="0.3">
      <c r="A91">
        <v>7</v>
      </c>
      <c r="B91" t="s">
        <v>351</v>
      </c>
      <c r="C91" t="s">
        <v>37</v>
      </c>
      <c r="D91" t="s">
        <v>342</v>
      </c>
      <c r="E91" s="61">
        <v>0</v>
      </c>
      <c r="F91" s="61">
        <v>15000</v>
      </c>
      <c r="G91" s="56" t="str">
        <f>TEXT(TablaGastos[[#This Row],[Orden]],"00")&amp;" "&amp;TablaGastos[[#This Row],[Semana]]</f>
        <v>07 21-27 Dic</v>
      </c>
      <c r="H91" s="56" t="str">
        <f>_xlfn.XLOOKUP(TablaGastos[[#This Row],[Semana]],Pivots!$U$2:$U$30,Pivots!$Y$2:$Y$30)</f>
        <v>2-Dic</v>
      </c>
    </row>
    <row r="92" spans="1:8" x14ac:dyDescent="0.3">
      <c r="A92">
        <v>7</v>
      </c>
      <c r="B92" t="s">
        <v>351</v>
      </c>
      <c r="C92" t="s">
        <v>7</v>
      </c>
      <c r="D92" t="s">
        <v>421</v>
      </c>
      <c r="E92" s="61">
        <v>5568</v>
      </c>
      <c r="F92" s="61">
        <v>0</v>
      </c>
      <c r="G92" s="56" t="str">
        <f>TEXT(TablaGastos[[#This Row],[Orden]],"00")&amp;" "&amp;TablaGastos[[#This Row],[Semana]]</f>
        <v>07 21-27 Dic</v>
      </c>
      <c r="H92" s="56" t="str">
        <f>_xlfn.XLOOKUP(TablaGastos[[#This Row],[Semana]],Pivots!$U$2:$U$30,Pivots!$Y$2:$Y$30)</f>
        <v>2-Dic</v>
      </c>
    </row>
    <row r="93" spans="1:8" x14ac:dyDescent="0.3">
      <c r="A93">
        <v>7</v>
      </c>
      <c r="B93" t="s">
        <v>351</v>
      </c>
      <c r="C93" t="s">
        <v>40</v>
      </c>
      <c r="D93" t="s">
        <v>421</v>
      </c>
      <c r="E93" s="61">
        <v>0</v>
      </c>
      <c r="F93" s="61">
        <v>2500</v>
      </c>
      <c r="G93" s="56" t="str">
        <f>TEXT(TablaGastos[[#This Row],[Orden]],"00")&amp;" "&amp;TablaGastos[[#This Row],[Semana]]</f>
        <v>07 21-27 Dic</v>
      </c>
      <c r="H93" s="56" t="str">
        <f>_xlfn.XLOOKUP(TablaGastos[[#This Row],[Semana]],Pivots!$U$2:$U$30,Pivots!$Y$2:$Y$30)</f>
        <v>2-Dic</v>
      </c>
    </row>
    <row r="94" spans="1:8" x14ac:dyDescent="0.3">
      <c r="A94">
        <v>7</v>
      </c>
      <c r="B94" t="s">
        <v>351</v>
      </c>
      <c r="C94" t="s">
        <v>41</v>
      </c>
      <c r="D94" t="s">
        <v>342</v>
      </c>
      <c r="E94" s="61">
        <v>20852.5</v>
      </c>
      <c r="F94" s="61">
        <v>0</v>
      </c>
      <c r="G94" s="56" t="str">
        <f>TEXT(TablaGastos[[#This Row],[Orden]],"00")&amp;" "&amp;TablaGastos[[#This Row],[Semana]]</f>
        <v>07 21-27 Dic</v>
      </c>
      <c r="H94" s="56" t="str">
        <f>_xlfn.XLOOKUP(TablaGastos[[#This Row],[Semana]],Pivots!$U$2:$U$30,Pivots!$Y$2:$Y$30)</f>
        <v>2-Dic</v>
      </c>
    </row>
    <row r="95" spans="1:8" x14ac:dyDescent="0.3">
      <c r="A95">
        <v>7</v>
      </c>
      <c r="B95" t="s">
        <v>351</v>
      </c>
      <c r="C95" t="s">
        <v>48</v>
      </c>
      <c r="D95" t="s">
        <v>342</v>
      </c>
      <c r="E95" s="61">
        <v>0</v>
      </c>
      <c r="F95" s="61">
        <v>49247.8</v>
      </c>
      <c r="G95" s="56" t="str">
        <f>TEXT(TablaGastos[[#This Row],[Orden]],"00")&amp;" "&amp;TablaGastos[[#This Row],[Semana]]</f>
        <v>07 21-27 Dic</v>
      </c>
      <c r="H95" s="56" t="str">
        <f>_xlfn.XLOOKUP(TablaGastos[[#This Row],[Semana]],Pivots!$U$2:$U$30,Pivots!$Y$2:$Y$30)</f>
        <v>2-Dic</v>
      </c>
    </row>
    <row r="96" spans="1:8" x14ac:dyDescent="0.3">
      <c r="A96">
        <v>7</v>
      </c>
      <c r="B96" t="s">
        <v>351</v>
      </c>
      <c r="C96" t="s">
        <v>51</v>
      </c>
      <c r="D96" t="s">
        <v>342</v>
      </c>
      <c r="E96" s="61">
        <v>22846.25</v>
      </c>
      <c r="F96" s="61">
        <v>0</v>
      </c>
      <c r="G96" s="56" t="str">
        <f>TEXT(TablaGastos[[#This Row],[Orden]],"00")&amp;" "&amp;TablaGastos[[#This Row],[Semana]]</f>
        <v>07 21-27 Dic</v>
      </c>
      <c r="H96" s="56" t="str">
        <f>_xlfn.XLOOKUP(TablaGastos[[#This Row],[Semana]],Pivots!$U$2:$U$30,Pivots!$Y$2:$Y$30)</f>
        <v>2-Dic</v>
      </c>
    </row>
    <row r="97" spans="1:8" x14ac:dyDescent="0.3">
      <c r="A97">
        <v>7</v>
      </c>
      <c r="B97" t="s">
        <v>351</v>
      </c>
      <c r="C97" t="s">
        <v>52</v>
      </c>
      <c r="D97" t="s">
        <v>422</v>
      </c>
      <c r="E97" s="61">
        <v>8120</v>
      </c>
      <c r="F97" s="61">
        <v>0</v>
      </c>
      <c r="G97" s="56" t="str">
        <f>TEXT(TablaGastos[[#This Row],[Orden]],"00")&amp;" "&amp;TablaGastos[[#This Row],[Semana]]</f>
        <v>07 21-27 Dic</v>
      </c>
      <c r="H97" s="56" t="str">
        <f>_xlfn.XLOOKUP(TablaGastos[[#This Row],[Semana]],Pivots!$U$2:$U$30,Pivots!$Y$2:$Y$30)</f>
        <v>2-Dic</v>
      </c>
    </row>
    <row r="98" spans="1:8" x14ac:dyDescent="0.3">
      <c r="A98">
        <v>7</v>
      </c>
      <c r="B98" t="s">
        <v>351</v>
      </c>
      <c r="C98" t="s">
        <v>53</v>
      </c>
      <c r="D98" t="s">
        <v>422</v>
      </c>
      <c r="E98" s="61">
        <v>0</v>
      </c>
      <c r="F98" s="61">
        <v>12000</v>
      </c>
      <c r="G98" s="56" t="str">
        <f>TEXT(TablaGastos[[#This Row],[Orden]],"00")&amp;" "&amp;TablaGastos[[#This Row],[Semana]]</f>
        <v>07 21-27 Dic</v>
      </c>
      <c r="H98" s="56" t="str">
        <f>_xlfn.XLOOKUP(TablaGastos[[#This Row],[Semana]],Pivots!$U$2:$U$30,Pivots!$Y$2:$Y$30)</f>
        <v>2-Dic</v>
      </c>
    </row>
    <row r="99" spans="1:8" x14ac:dyDescent="0.3">
      <c r="A99">
        <v>7</v>
      </c>
      <c r="B99" t="s">
        <v>351</v>
      </c>
      <c r="C99" t="s">
        <v>107</v>
      </c>
      <c r="D99" t="s">
        <v>421</v>
      </c>
      <c r="E99" s="61">
        <v>0</v>
      </c>
      <c r="F99" s="61">
        <v>9588.2800000000007</v>
      </c>
      <c r="G99" s="56" t="str">
        <f>TEXT(TablaGastos[[#This Row],[Orden]],"00")&amp;" "&amp;TablaGastos[[#This Row],[Semana]]</f>
        <v>07 21-27 Dic</v>
      </c>
      <c r="H99" s="56" t="str">
        <f>_xlfn.XLOOKUP(TablaGastos[[#This Row],[Semana]],Pivots!$U$2:$U$30,Pivots!$Y$2:$Y$30)</f>
        <v>2-Dic</v>
      </c>
    </row>
    <row r="100" spans="1:8" x14ac:dyDescent="0.3">
      <c r="A100">
        <v>7</v>
      </c>
      <c r="B100" t="s">
        <v>351</v>
      </c>
      <c r="C100" t="s">
        <v>55</v>
      </c>
      <c r="D100" t="s">
        <v>342</v>
      </c>
      <c r="E100" s="61">
        <v>0</v>
      </c>
      <c r="F100" s="61">
        <v>22800</v>
      </c>
      <c r="G100" s="56" t="str">
        <f>TEXT(TablaGastos[[#This Row],[Orden]],"00")&amp;" "&amp;TablaGastos[[#This Row],[Semana]]</f>
        <v>07 21-27 Dic</v>
      </c>
      <c r="H100" s="56" t="str">
        <f>_xlfn.XLOOKUP(TablaGastos[[#This Row],[Semana]],Pivots!$U$2:$U$30,Pivots!$Y$2:$Y$30)</f>
        <v>2-Dic</v>
      </c>
    </row>
    <row r="101" spans="1:8" x14ac:dyDescent="0.3">
      <c r="A101">
        <v>7</v>
      </c>
      <c r="B101" t="s">
        <v>351</v>
      </c>
      <c r="C101" t="s">
        <v>55</v>
      </c>
      <c r="D101" t="s">
        <v>342</v>
      </c>
      <c r="E101" s="61">
        <v>28500</v>
      </c>
      <c r="F101" s="61">
        <v>0</v>
      </c>
      <c r="G101" s="56" t="str">
        <f>TEXT(TablaGastos[[#This Row],[Orden]],"00")&amp;" "&amp;TablaGastos[[#This Row],[Semana]]</f>
        <v>07 21-27 Dic</v>
      </c>
      <c r="H101" s="56" t="str">
        <f>_xlfn.XLOOKUP(TablaGastos[[#This Row],[Semana]],Pivots!$U$2:$U$30,Pivots!$Y$2:$Y$30)</f>
        <v>2-Dic</v>
      </c>
    </row>
    <row r="102" spans="1:8" x14ac:dyDescent="0.3">
      <c r="A102">
        <v>7</v>
      </c>
      <c r="B102" t="s">
        <v>351</v>
      </c>
      <c r="C102" t="s">
        <v>86</v>
      </c>
      <c r="D102" t="s">
        <v>422</v>
      </c>
      <c r="E102" s="61">
        <v>0</v>
      </c>
      <c r="F102" s="61">
        <v>8000</v>
      </c>
      <c r="G102" s="56" t="str">
        <f>TEXT(TablaGastos[[#This Row],[Orden]],"00")&amp;" "&amp;TablaGastos[[#This Row],[Semana]]</f>
        <v>07 21-27 Dic</v>
      </c>
      <c r="H102" s="56" t="str">
        <f>_xlfn.XLOOKUP(TablaGastos[[#This Row],[Semana]],Pivots!$U$2:$U$30,Pivots!$Y$2:$Y$30)</f>
        <v>2-Dic</v>
      </c>
    </row>
    <row r="103" spans="1:8" x14ac:dyDescent="0.3">
      <c r="A103">
        <v>7</v>
      </c>
      <c r="B103" t="s">
        <v>351</v>
      </c>
      <c r="C103" t="s">
        <v>112</v>
      </c>
      <c r="D103" t="s">
        <v>344</v>
      </c>
      <c r="E103" s="61">
        <v>260435</v>
      </c>
      <c r="F103" s="61">
        <v>0</v>
      </c>
      <c r="G103" s="56" t="str">
        <f>TEXT(TablaGastos[[#This Row],[Orden]],"00")&amp;" "&amp;TablaGastos[[#This Row],[Semana]]</f>
        <v>07 21-27 Dic</v>
      </c>
      <c r="H103" s="56" t="str">
        <f>_xlfn.XLOOKUP(TablaGastos[[#This Row],[Semana]],Pivots!$U$2:$U$30,Pivots!$Y$2:$Y$30)</f>
        <v>2-Dic</v>
      </c>
    </row>
    <row r="104" spans="1:8" x14ac:dyDescent="0.3">
      <c r="A104">
        <v>7</v>
      </c>
      <c r="B104" t="s">
        <v>351</v>
      </c>
      <c r="C104" t="s">
        <v>113</v>
      </c>
      <c r="D104" t="s">
        <v>421</v>
      </c>
      <c r="E104" s="61">
        <v>12000</v>
      </c>
      <c r="F104" s="61">
        <v>0</v>
      </c>
      <c r="G104" s="56" t="str">
        <f>TEXT(TablaGastos[[#This Row],[Orden]],"00")&amp;" "&amp;TablaGastos[[#This Row],[Semana]]</f>
        <v>07 21-27 Dic</v>
      </c>
      <c r="H104" s="56" t="str">
        <f>_xlfn.XLOOKUP(TablaGastos[[#This Row],[Semana]],Pivots!$U$2:$U$30,Pivots!$Y$2:$Y$30)</f>
        <v>2-Dic</v>
      </c>
    </row>
    <row r="105" spans="1:8" x14ac:dyDescent="0.3">
      <c r="A105">
        <v>7</v>
      </c>
      <c r="B105" t="s">
        <v>351</v>
      </c>
      <c r="C105" t="s">
        <v>114</v>
      </c>
      <c r="D105" t="s">
        <v>343</v>
      </c>
      <c r="E105" s="61">
        <v>50000</v>
      </c>
      <c r="F105" s="61">
        <v>0</v>
      </c>
      <c r="G105" s="56" t="str">
        <f>TEXT(TablaGastos[[#This Row],[Orden]],"00")&amp;" "&amp;TablaGastos[[#This Row],[Semana]]</f>
        <v>07 21-27 Dic</v>
      </c>
      <c r="H105" s="56" t="str">
        <f>_xlfn.XLOOKUP(TablaGastos[[#This Row],[Semana]],Pivots!$U$2:$U$30,Pivots!$Y$2:$Y$30)</f>
        <v>2-Dic</v>
      </c>
    </row>
    <row r="106" spans="1:8" x14ac:dyDescent="0.3">
      <c r="A106">
        <v>7</v>
      </c>
      <c r="B106" t="s">
        <v>351</v>
      </c>
      <c r="C106" t="s">
        <v>116</v>
      </c>
      <c r="D106" t="s">
        <v>421</v>
      </c>
      <c r="E106" s="61">
        <v>2000</v>
      </c>
      <c r="F106" s="61">
        <v>0</v>
      </c>
      <c r="G106" s="56" t="str">
        <f>TEXT(TablaGastos[[#This Row],[Orden]],"00")&amp;" "&amp;TablaGastos[[#This Row],[Semana]]</f>
        <v>07 21-27 Dic</v>
      </c>
      <c r="H106" s="56" t="str">
        <f>_xlfn.XLOOKUP(TablaGastos[[#This Row],[Semana]],Pivots!$U$2:$U$30,Pivots!$Y$2:$Y$30)</f>
        <v>2-Dic</v>
      </c>
    </row>
    <row r="107" spans="1:8" x14ac:dyDescent="0.3">
      <c r="A107">
        <v>8</v>
      </c>
      <c r="B107" t="s">
        <v>352</v>
      </c>
      <c r="C107" t="s">
        <v>30</v>
      </c>
      <c r="D107" t="s">
        <v>342</v>
      </c>
      <c r="E107" s="61">
        <v>125037</v>
      </c>
      <c r="F107" s="61">
        <v>0</v>
      </c>
      <c r="G107" s="56" t="str">
        <f>TEXT(TablaGastos[[#This Row],[Orden]],"00")&amp;" "&amp;TablaGastos[[#This Row],[Semana]]</f>
        <v>08 29 Dic 03 Ene</v>
      </c>
      <c r="H107" s="56" t="str">
        <f>_xlfn.XLOOKUP(TablaGastos[[#This Row],[Semana]],Pivots!$U$2:$U$30,Pivots!$Y$2:$Y$30)</f>
        <v>2-Dic</v>
      </c>
    </row>
    <row r="108" spans="1:8" x14ac:dyDescent="0.3">
      <c r="A108">
        <v>8</v>
      </c>
      <c r="B108" t="s">
        <v>352</v>
      </c>
      <c r="C108" t="s">
        <v>37</v>
      </c>
      <c r="D108" t="s">
        <v>342</v>
      </c>
      <c r="E108" s="61">
        <v>10000</v>
      </c>
      <c r="F108" s="61">
        <v>0</v>
      </c>
      <c r="G108" s="56" t="str">
        <f>TEXT(TablaGastos[[#This Row],[Orden]],"00")&amp;" "&amp;TablaGastos[[#This Row],[Semana]]</f>
        <v>08 29 Dic 03 Ene</v>
      </c>
      <c r="H108" s="56" t="str">
        <f>_xlfn.XLOOKUP(TablaGastos[[#This Row],[Semana]],Pivots!$U$2:$U$30,Pivots!$Y$2:$Y$30)</f>
        <v>2-Dic</v>
      </c>
    </row>
    <row r="109" spans="1:8" x14ac:dyDescent="0.3">
      <c r="A109">
        <v>8</v>
      </c>
      <c r="B109" t="s">
        <v>352</v>
      </c>
      <c r="C109" t="s">
        <v>102</v>
      </c>
      <c r="D109" t="s">
        <v>342</v>
      </c>
      <c r="E109" s="61">
        <v>7308</v>
      </c>
      <c r="F109" s="61">
        <v>0</v>
      </c>
      <c r="G109" s="56" t="str">
        <f>TEXT(TablaGastos[[#This Row],[Orden]],"00")&amp;" "&amp;TablaGastos[[#This Row],[Semana]]</f>
        <v>08 29 Dic 03 Ene</v>
      </c>
      <c r="H109" s="56" t="str">
        <f>_xlfn.XLOOKUP(TablaGastos[[#This Row],[Semana]],Pivots!$U$2:$U$30,Pivots!$Y$2:$Y$30)</f>
        <v>2-Dic</v>
      </c>
    </row>
    <row r="110" spans="1:8" x14ac:dyDescent="0.3">
      <c r="A110">
        <v>8</v>
      </c>
      <c r="B110" t="s">
        <v>352</v>
      </c>
      <c r="C110" t="s">
        <v>40</v>
      </c>
      <c r="D110" t="s">
        <v>421</v>
      </c>
      <c r="E110" s="61">
        <v>0</v>
      </c>
      <c r="F110" s="61">
        <v>2500</v>
      </c>
      <c r="G110" s="56" t="str">
        <f>TEXT(TablaGastos[[#This Row],[Orden]],"00")&amp;" "&amp;TablaGastos[[#This Row],[Semana]]</f>
        <v>08 29 Dic 03 Ene</v>
      </c>
      <c r="H110" s="56" t="str">
        <f>_xlfn.XLOOKUP(TablaGastos[[#This Row],[Semana]],Pivots!$U$2:$U$30,Pivots!$Y$2:$Y$30)</f>
        <v>2-Dic</v>
      </c>
    </row>
    <row r="111" spans="1:8" x14ac:dyDescent="0.3">
      <c r="A111">
        <v>8</v>
      </c>
      <c r="B111" t="s">
        <v>352</v>
      </c>
      <c r="C111" t="s">
        <v>48</v>
      </c>
      <c r="D111" t="s">
        <v>342</v>
      </c>
      <c r="E111" s="61">
        <v>0</v>
      </c>
      <c r="F111" s="61">
        <v>49247.8</v>
      </c>
      <c r="G111" s="56" t="str">
        <f>TEXT(TablaGastos[[#This Row],[Orden]],"00")&amp;" "&amp;TablaGastos[[#This Row],[Semana]]</f>
        <v>08 29 Dic 03 Ene</v>
      </c>
      <c r="H111" s="56" t="str">
        <f>_xlfn.XLOOKUP(TablaGastos[[#This Row],[Semana]],Pivots!$U$2:$U$30,Pivots!$Y$2:$Y$30)</f>
        <v>2-Dic</v>
      </c>
    </row>
    <row r="112" spans="1:8" x14ac:dyDescent="0.3">
      <c r="A112">
        <v>8</v>
      </c>
      <c r="B112" t="s">
        <v>352</v>
      </c>
      <c r="C112" t="s">
        <v>53</v>
      </c>
      <c r="D112" t="s">
        <v>422</v>
      </c>
      <c r="E112" s="61">
        <v>0</v>
      </c>
      <c r="F112" s="61">
        <v>12000</v>
      </c>
      <c r="G112" s="56" t="str">
        <f>TEXT(TablaGastos[[#This Row],[Orden]],"00")&amp;" "&amp;TablaGastos[[#This Row],[Semana]]</f>
        <v>08 29 Dic 03 Ene</v>
      </c>
      <c r="H112" s="56" t="str">
        <f>_xlfn.XLOOKUP(TablaGastos[[#This Row],[Semana]],Pivots!$U$2:$U$30,Pivots!$Y$2:$Y$30)</f>
        <v>2-Dic</v>
      </c>
    </row>
    <row r="113" spans="1:8" x14ac:dyDescent="0.3">
      <c r="A113">
        <v>8</v>
      </c>
      <c r="B113" t="s">
        <v>352</v>
      </c>
      <c r="C113" t="s">
        <v>107</v>
      </c>
      <c r="D113" t="s">
        <v>421</v>
      </c>
      <c r="E113" s="61">
        <v>0</v>
      </c>
      <c r="F113" s="61">
        <v>9588.2800000000007</v>
      </c>
      <c r="G113" s="56" t="str">
        <f>TEXT(TablaGastos[[#This Row],[Orden]],"00")&amp;" "&amp;TablaGastos[[#This Row],[Semana]]</f>
        <v>08 29 Dic 03 Ene</v>
      </c>
      <c r="H113" s="56" t="str">
        <f>_xlfn.XLOOKUP(TablaGastos[[#This Row],[Semana]],Pivots!$U$2:$U$30,Pivots!$Y$2:$Y$30)</f>
        <v>2-Dic</v>
      </c>
    </row>
    <row r="114" spans="1:8" x14ac:dyDescent="0.3">
      <c r="A114">
        <v>8</v>
      </c>
      <c r="B114" t="s">
        <v>352</v>
      </c>
      <c r="C114" t="s">
        <v>55</v>
      </c>
      <c r="D114" t="s">
        <v>342</v>
      </c>
      <c r="E114" s="61">
        <v>0</v>
      </c>
      <c r="F114" s="61">
        <v>22800</v>
      </c>
      <c r="G114" s="56" t="str">
        <f>TEXT(TablaGastos[[#This Row],[Orden]],"00")&amp;" "&amp;TablaGastos[[#This Row],[Semana]]</f>
        <v>08 29 Dic 03 Ene</v>
      </c>
      <c r="H114" s="56" t="str">
        <f>_xlfn.XLOOKUP(TablaGastos[[#This Row],[Semana]],Pivots!$U$2:$U$30,Pivots!$Y$2:$Y$30)</f>
        <v>2-Dic</v>
      </c>
    </row>
    <row r="115" spans="1:8" x14ac:dyDescent="0.3">
      <c r="A115">
        <v>8</v>
      </c>
      <c r="B115" t="s">
        <v>352</v>
      </c>
      <c r="C115" t="s">
        <v>115</v>
      </c>
      <c r="D115" t="s">
        <v>344</v>
      </c>
      <c r="E115" s="61">
        <v>9280</v>
      </c>
      <c r="F115" s="61">
        <v>0</v>
      </c>
      <c r="G115" s="56" t="str">
        <f>TEXT(TablaGastos[[#This Row],[Orden]],"00")&amp;" "&amp;TablaGastos[[#This Row],[Semana]]</f>
        <v>08 29 Dic 03 Ene</v>
      </c>
      <c r="H115" s="56" t="str">
        <f>_xlfn.XLOOKUP(TablaGastos[[#This Row],[Semana]],Pivots!$U$2:$U$30,Pivots!$Y$2:$Y$30)</f>
        <v>2-Dic</v>
      </c>
    </row>
    <row r="116" spans="1:8" x14ac:dyDescent="0.3">
      <c r="A116">
        <v>8</v>
      </c>
      <c r="B116" t="s">
        <v>352</v>
      </c>
      <c r="C116" t="s">
        <v>11</v>
      </c>
      <c r="D116" t="s">
        <v>347</v>
      </c>
      <c r="E116" s="61">
        <v>10000</v>
      </c>
      <c r="F116" s="61">
        <v>0</v>
      </c>
      <c r="G116" s="56" t="str">
        <f>TEXT(TablaGastos[[#This Row],[Orden]],"00")&amp;" "&amp;TablaGastos[[#This Row],[Semana]]</f>
        <v>08 29 Dic 03 Ene</v>
      </c>
      <c r="H116" s="56" t="str">
        <f>_xlfn.XLOOKUP(TablaGastos[[#This Row],[Semana]],Pivots!$U$2:$U$30,Pivots!$Y$2:$Y$30)</f>
        <v>2-Dic</v>
      </c>
    </row>
    <row r="117" spans="1:8" x14ac:dyDescent="0.3">
      <c r="A117">
        <v>8</v>
      </c>
      <c r="B117" t="s">
        <v>352</v>
      </c>
      <c r="C117" t="s">
        <v>118</v>
      </c>
      <c r="D117" t="s">
        <v>344</v>
      </c>
      <c r="E117" s="61">
        <v>6020.4</v>
      </c>
      <c r="F117" s="61">
        <v>0</v>
      </c>
      <c r="G117" s="56" t="str">
        <f>TEXT(TablaGastos[[#This Row],[Orden]],"00")&amp;" "&amp;TablaGastos[[#This Row],[Semana]]</f>
        <v>08 29 Dic 03 Ene</v>
      </c>
      <c r="H117" s="56" t="str">
        <f>_xlfn.XLOOKUP(TablaGastos[[#This Row],[Semana]],Pivots!$U$2:$U$30,Pivots!$Y$2:$Y$30)</f>
        <v>2-Dic</v>
      </c>
    </row>
    <row r="118" spans="1:8" x14ac:dyDescent="0.3">
      <c r="A118">
        <v>8</v>
      </c>
      <c r="B118" t="s">
        <v>352</v>
      </c>
      <c r="C118" t="s">
        <v>126</v>
      </c>
      <c r="D118" t="s">
        <v>421</v>
      </c>
      <c r="E118" s="61">
        <v>3014.2</v>
      </c>
      <c r="F118" s="61">
        <v>0</v>
      </c>
      <c r="G118" s="56" t="str">
        <f>TEXT(TablaGastos[[#This Row],[Orden]],"00")&amp;" "&amp;TablaGastos[[#This Row],[Semana]]</f>
        <v>08 29 Dic 03 Ene</v>
      </c>
      <c r="H118" s="56" t="str">
        <f>_xlfn.XLOOKUP(TablaGastos[[#This Row],[Semana]],Pivots!$U$2:$U$30,Pivots!$Y$2:$Y$30)</f>
        <v>2-Dic</v>
      </c>
    </row>
    <row r="119" spans="1:8" x14ac:dyDescent="0.3">
      <c r="A119">
        <v>9</v>
      </c>
      <c r="B119" t="s">
        <v>353</v>
      </c>
      <c r="C119" t="s">
        <v>30</v>
      </c>
      <c r="D119" t="s">
        <v>342</v>
      </c>
      <c r="E119" s="61">
        <v>95000</v>
      </c>
      <c r="F119" s="61">
        <v>0</v>
      </c>
      <c r="G119" s="56" t="str">
        <f>TEXT(TablaGastos[[#This Row],[Orden]],"00")&amp;" "&amp;TablaGastos[[#This Row],[Semana]]</f>
        <v>09 05 10 Ene</v>
      </c>
      <c r="H119" s="56" t="str">
        <f>_xlfn.XLOOKUP(TablaGastos[[#This Row],[Semana]],Pivots!$U$2:$U$30,Pivots!$Y$2:$Y$30)</f>
        <v>3-Ene</v>
      </c>
    </row>
    <row r="120" spans="1:8" x14ac:dyDescent="0.3">
      <c r="A120">
        <v>9</v>
      </c>
      <c r="B120" t="s">
        <v>353</v>
      </c>
      <c r="C120" t="s">
        <v>41</v>
      </c>
      <c r="D120" t="s">
        <v>342</v>
      </c>
      <c r="E120" s="61">
        <v>17800</v>
      </c>
      <c r="F120" s="61">
        <v>0</v>
      </c>
      <c r="G120" s="56" t="str">
        <f>TEXT(TablaGastos[[#This Row],[Orden]],"00")&amp;" "&amp;TablaGastos[[#This Row],[Semana]]</f>
        <v>09 05 10 Ene</v>
      </c>
      <c r="H120" s="56" t="str">
        <f>_xlfn.XLOOKUP(TablaGastos[[#This Row],[Semana]],Pivots!$U$2:$U$30,Pivots!$Y$2:$Y$30)</f>
        <v>3-Ene</v>
      </c>
    </row>
    <row r="121" spans="1:8" x14ac:dyDescent="0.3">
      <c r="A121">
        <v>9</v>
      </c>
      <c r="B121" t="s">
        <v>353</v>
      </c>
      <c r="C121" t="s">
        <v>37</v>
      </c>
      <c r="D121" t="s">
        <v>342</v>
      </c>
      <c r="E121" s="61">
        <v>0</v>
      </c>
      <c r="F121" s="61">
        <v>15000</v>
      </c>
      <c r="G121" s="56" t="str">
        <f>TEXT(TablaGastos[[#This Row],[Orden]],"00")&amp;" "&amp;TablaGastos[[#This Row],[Semana]]</f>
        <v>09 05 10 Ene</v>
      </c>
      <c r="H121" s="56" t="str">
        <f>_xlfn.XLOOKUP(TablaGastos[[#This Row],[Semana]],Pivots!$U$2:$U$30,Pivots!$Y$2:$Y$30)</f>
        <v>3-Ene</v>
      </c>
    </row>
    <row r="122" spans="1:8" x14ac:dyDescent="0.3">
      <c r="A122">
        <v>9</v>
      </c>
      <c r="B122" t="s">
        <v>353</v>
      </c>
      <c r="C122" t="s">
        <v>41</v>
      </c>
      <c r="D122" t="s">
        <v>342</v>
      </c>
      <c r="E122" s="61">
        <v>0</v>
      </c>
      <c r="F122" s="61">
        <v>2500</v>
      </c>
      <c r="G122" s="56" t="str">
        <f>TEXT(TablaGastos[[#This Row],[Orden]],"00")&amp;" "&amp;TablaGastos[[#This Row],[Semana]]</f>
        <v>09 05 10 Ene</v>
      </c>
      <c r="H122" s="56" t="str">
        <f>_xlfn.XLOOKUP(TablaGastos[[#This Row],[Semana]],Pivots!$U$2:$U$30,Pivots!$Y$2:$Y$30)</f>
        <v>3-Ene</v>
      </c>
    </row>
    <row r="123" spans="1:8" x14ac:dyDescent="0.3">
      <c r="A123">
        <v>9</v>
      </c>
      <c r="B123" t="s">
        <v>353</v>
      </c>
      <c r="C123" t="s">
        <v>49</v>
      </c>
      <c r="D123" t="s">
        <v>342</v>
      </c>
      <c r="E123" s="61">
        <v>0</v>
      </c>
      <c r="F123" s="61">
        <v>49247.8</v>
      </c>
      <c r="G123" s="56" t="str">
        <f>TEXT(TablaGastos[[#This Row],[Orden]],"00")&amp;" "&amp;TablaGastos[[#This Row],[Semana]]</f>
        <v>09 05 10 Ene</v>
      </c>
      <c r="H123" s="56" t="str">
        <f>_xlfn.XLOOKUP(TablaGastos[[#This Row],[Semana]],Pivots!$U$2:$U$30,Pivots!$Y$2:$Y$30)</f>
        <v>3-Ene</v>
      </c>
    </row>
    <row r="124" spans="1:8" x14ac:dyDescent="0.3">
      <c r="A124">
        <v>9</v>
      </c>
      <c r="B124" t="s">
        <v>353</v>
      </c>
      <c r="C124" t="s">
        <v>107</v>
      </c>
      <c r="D124" t="s">
        <v>421</v>
      </c>
      <c r="E124" s="61">
        <v>0</v>
      </c>
      <c r="F124" s="61">
        <v>12000</v>
      </c>
      <c r="G124" s="56" t="str">
        <f>TEXT(TablaGastos[[#This Row],[Orden]],"00")&amp;" "&amp;TablaGastos[[#This Row],[Semana]]</f>
        <v>09 05 10 Ene</v>
      </c>
      <c r="H124" s="56" t="str">
        <f>_xlfn.XLOOKUP(TablaGastos[[#This Row],[Semana]],Pivots!$U$2:$U$30,Pivots!$Y$2:$Y$30)</f>
        <v>3-Ene</v>
      </c>
    </row>
    <row r="125" spans="1:8" x14ac:dyDescent="0.3">
      <c r="A125">
        <v>9</v>
      </c>
      <c r="B125" t="s">
        <v>353</v>
      </c>
      <c r="C125" t="s">
        <v>55</v>
      </c>
      <c r="D125" t="s">
        <v>342</v>
      </c>
      <c r="E125" s="61">
        <v>0</v>
      </c>
      <c r="F125" s="61">
        <v>9588.2800000000007</v>
      </c>
      <c r="G125" s="56" t="str">
        <f>TEXT(TablaGastos[[#This Row],[Orden]],"00")&amp;" "&amp;TablaGastos[[#This Row],[Semana]]</f>
        <v>09 05 10 Ene</v>
      </c>
      <c r="H125" s="56" t="str">
        <f>_xlfn.XLOOKUP(TablaGastos[[#This Row],[Semana]],Pivots!$U$2:$U$30,Pivots!$Y$2:$Y$30)</f>
        <v>3-Ene</v>
      </c>
    </row>
    <row r="126" spans="1:8" x14ac:dyDescent="0.3">
      <c r="A126">
        <v>9</v>
      </c>
      <c r="B126" t="s">
        <v>353</v>
      </c>
      <c r="C126" t="s">
        <v>55</v>
      </c>
      <c r="D126" t="s">
        <v>342</v>
      </c>
      <c r="E126" s="61">
        <v>0</v>
      </c>
      <c r="F126" s="61">
        <v>22800</v>
      </c>
      <c r="G126" s="56" t="str">
        <f>TEXT(TablaGastos[[#This Row],[Orden]],"00")&amp;" "&amp;TablaGastos[[#This Row],[Semana]]</f>
        <v>09 05 10 Ene</v>
      </c>
      <c r="H126" s="56" t="str">
        <f>_xlfn.XLOOKUP(TablaGastos[[#This Row],[Semana]],Pivots!$U$2:$U$30,Pivots!$Y$2:$Y$30)</f>
        <v>3-Ene</v>
      </c>
    </row>
    <row r="127" spans="1:8" x14ac:dyDescent="0.3">
      <c r="A127">
        <v>9</v>
      </c>
      <c r="B127" t="s">
        <v>353</v>
      </c>
      <c r="C127" t="s">
        <v>133</v>
      </c>
      <c r="D127" t="s">
        <v>422</v>
      </c>
      <c r="E127" s="61">
        <v>3981.94</v>
      </c>
      <c r="F127" s="61">
        <v>0</v>
      </c>
      <c r="G127" s="56" t="str">
        <f>TEXT(TablaGastos[[#This Row],[Orden]],"00")&amp;" "&amp;TablaGastos[[#This Row],[Semana]]</f>
        <v>09 05 10 Ene</v>
      </c>
      <c r="H127" s="56" t="str">
        <f>_xlfn.XLOOKUP(TablaGastos[[#This Row],[Semana]],Pivots!$U$2:$U$30,Pivots!$Y$2:$Y$30)</f>
        <v>3-Ene</v>
      </c>
    </row>
    <row r="128" spans="1:8" x14ac:dyDescent="0.3">
      <c r="A128">
        <v>9</v>
      </c>
      <c r="B128" t="s">
        <v>353</v>
      </c>
      <c r="C128" t="s">
        <v>134</v>
      </c>
      <c r="D128" t="s">
        <v>344</v>
      </c>
      <c r="E128" s="61">
        <v>2041.71</v>
      </c>
      <c r="F128" s="61">
        <v>0</v>
      </c>
      <c r="G128" s="56" t="str">
        <f>TEXT(TablaGastos[[#This Row],[Orden]],"00")&amp;" "&amp;TablaGastos[[#This Row],[Semana]]</f>
        <v>09 05 10 Ene</v>
      </c>
      <c r="H128" s="56" t="str">
        <f>_xlfn.XLOOKUP(TablaGastos[[#This Row],[Semana]],Pivots!$U$2:$U$30,Pivots!$Y$2:$Y$30)</f>
        <v>3-Ene</v>
      </c>
    </row>
    <row r="129" spans="1:8" x14ac:dyDescent="0.3">
      <c r="A129">
        <v>9</v>
      </c>
      <c r="B129" t="s">
        <v>353</v>
      </c>
      <c r="C129" t="s">
        <v>11</v>
      </c>
      <c r="D129" t="s">
        <v>347</v>
      </c>
      <c r="E129" s="61">
        <v>0</v>
      </c>
      <c r="F129" s="61">
        <v>10000</v>
      </c>
      <c r="G129" s="56" t="str">
        <f>TEXT(TablaGastos[[#This Row],[Orden]],"00")&amp;" "&amp;TablaGastos[[#This Row],[Semana]]</f>
        <v>09 05 10 Ene</v>
      </c>
      <c r="H129" s="56" t="str">
        <f>_xlfn.XLOOKUP(TablaGastos[[#This Row],[Semana]],Pivots!$U$2:$U$30,Pivots!$Y$2:$Y$30)</f>
        <v>3-Ene</v>
      </c>
    </row>
    <row r="130" spans="1:8" x14ac:dyDescent="0.3">
      <c r="A130">
        <v>9</v>
      </c>
      <c r="B130" t="s">
        <v>353</v>
      </c>
      <c r="C130" t="s">
        <v>135</v>
      </c>
      <c r="D130" t="s">
        <v>342</v>
      </c>
      <c r="E130" s="61">
        <v>15600</v>
      </c>
      <c r="F130" s="61">
        <v>0</v>
      </c>
      <c r="G130" s="56" t="str">
        <f>TEXT(TablaGastos[[#This Row],[Orden]],"00")&amp;" "&amp;TablaGastos[[#This Row],[Semana]]</f>
        <v>09 05 10 Ene</v>
      </c>
      <c r="H130" s="56" t="str">
        <f>_xlfn.XLOOKUP(TablaGastos[[#This Row],[Semana]],Pivots!$U$2:$U$30,Pivots!$Y$2:$Y$30)</f>
        <v>3-Ene</v>
      </c>
    </row>
    <row r="131" spans="1:8" x14ac:dyDescent="0.3">
      <c r="A131">
        <v>9</v>
      </c>
      <c r="B131" t="s">
        <v>353</v>
      </c>
      <c r="C131" t="s">
        <v>136</v>
      </c>
      <c r="D131" t="s">
        <v>342</v>
      </c>
      <c r="E131" s="61">
        <v>37500</v>
      </c>
      <c r="F131" s="61">
        <v>0</v>
      </c>
      <c r="G131" s="56" t="str">
        <f>TEXT(TablaGastos[[#This Row],[Orden]],"00")&amp;" "&amp;TablaGastos[[#This Row],[Semana]]</f>
        <v>09 05 10 Ene</v>
      </c>
      <c r="H131" s="56" t="str">
        <f>_xlfn.XLOOKUP(TablaGastos[[#This Row],[Semana]],Pivots!$U$2:$U$30,Pivots!$Y$2:$Y$30)</f>
        <v>3-Ene</v>
      </c>
    </row>
    <row r="132" spans="1:8" x14ac:dyDescent="0.3">
      <c r="A132">
        <v>10</v>
      </c>
      <c r="B132" t="s">
        <v>354</v>
      </c>
      <c r="C132" t="s">
        <v>30</v>
      </c>
      <c r="D132" t="s">
        <v>342</v>
      </c>
      <c r="E132" s="61">
        <v>73000</v>
      </c>
      <c r="F132" s="61">
        <v>22000</v>
      </c>
      <c r="G132" s="56" t="str">
        <f>TEXT(TablaGastos[[#This Row],[Orden]],"00")&amp;" "&amp;TablaGastos[[#This Row],[Semana]]</f>
        <v>10 11 17 Ene</v>
      </c>
      <c r="H132" s="56" t="str">
        <f>_xlfn.XLOOKUP(TablaGastos[[#This Row],[Semana]],Pivots!$U$2:$U$30,Pivots!$Y$2:$Y$30)</f>
        <v>3-Ene</v>
      </c>
    </row>
    <row r="133" spans="1:8" x14ac:dyDescent="0.3">
      <c r="A133">
        <v>10</v>
      </c>
      <c r="B133" t="s">
        <v>354</v>
      </c>
      <c r="C133" t="s">
        <v>41</v>
      </c>
      <c r="D133" t="s">
        <v>342</v>
      </c>
      <c r="E133" s="61">
        <v>10200</v>
      </c>
      <c r="F133" s="61">
        <v>14950</v>
      </c>
      <c r="G133" s="56" t="str">
        <f>TEXT(TablaGastos[[#This Row],[Orden]],"00")&amp;" "&amp;TablaGastos[[#This Row],[Semana]]</f>
        <v>10 11 17 Ene</v>
      </c>
      <c r="H133" s="56" t="str">
        <f>_xlfn.XLOOKUP(TablaGastos[[#This Row],[Semana]],Pivots!$U$2:$U$30,Pivots!$Y$2:$Y$30)</f>
        <v>3-Ene</v>
      </c>
    </row>
    <row r="134" spans="1:8" x14ac:dyDescent="0.3">
      <c r="A134">
        <v>10</v>
      </c>
      <c r="B134" t="s">
        <v>354</v>
      </c>
      <c r="C134" t="s">
        <v>37</v>
      </c>
      <c r="D134" t="s">
        <v>342</v>
      </c>
      <c r="E134" s="61">
        <v>0</v>
      </c>
      <c r="F134" s="61">
        <v>15000</v>
      </c>
      <c r="G134" s="56" t="str">
        <f>TEXT(TablaGastos[[#This Row],[Orden]],"00")&amp;" "&amp;TablaGastos[[#This Row],[Semana]]</f>
        <v>10 11 17 Ene</v>
      </c>
      <c r="H134" s="56" t="str">
        <f>_xlfn.XLOOKUP(TablaGastos[[#This Row],[Semana]],Pivots!$U$2:$U$30,Pivots!$Y$2:$Y$30)</f>
        <v>3-Ene</v>
      </c>
    </row>
    <row r="135" spans="1:8" x14ac:dyDescent="0.3">
      <c r="A135">
        <v>10</v>
      </c>
      <c r="B135" t="s">
        <v>354</v>
      </c>
      <c r="C135" t="s">
        <v>49</v>
      </c>
      <c r="D135" t="s">
        <v>342</v>
      </c>
      <c r="E135" s="61">
        <v>0</v>
      </c>
      <c r="F135" s="61">
        <v>49247.8</v>
      </c>
      <c r="G135" s="56" t="str">
        <f>TEXT(TablaGastos[[#This Row],[Orden]],"00")&amp;" "&amp;TablaGastos[[#This Row],[Semana]]</f>
        <v>10 11 17 Ene</v>
      </c>
      <c r="H135" s="56" t="str">
        <f>_xlfn.XLOOKUP(TablaGastos[[#This Row],[Semana]],Pivots!$U$2:$U$30,Pivots!$Y$2:$Y$30)</f>
        <v>3-Ene</v>
      </c>
    </row>
    <row r="136" spans="1:8" x14ac:dyDescent="0.3">
      <c r="A136">
        <v>10</v>
      </c>
      <c r="B136" t="s">
        <v>354</v>
      </c>
      <c r="C136" t="s">
        <v>52</v>
      </c>
      <c r="D136" t="s">
        <v>422</v>
      </c>
      <c r="E136" s="61">
        <v>0</v>
      </c>
      <c r="F136" s="61">
        <v>15660</v>
      </c>
      <c r="G136" s="56" t="str">
        <f>TEXT(TablaGastos[[#This Row],[Orden]],"00")&amp;" "&amp;TablaGastos[[#This Row],[Semana]]</f>
        <v>10 11 17 Ene</v>
      </c>
      <c r="H136" s="56" t="str">
        <f>_xlfn.XLOOKUP(TablaGastos[[#This Row],[Semana]],Pivots!$U$2:$U$30,Pivots!$Y$2:$Y$30)</f>
        <v>3-Ene</v>
      </c>
    </row>
    <row r="137" spans="1:8" x14ac:dyDescent="0.3">
      <c r="A137">
        <v>10</v>
      </c>
      <c r="B137" t="s">
        <v>354</v>
      </c>
      <c r="C137" t="s">
        <v>107</v>
      </c>
      <c r="D137" t="s">
        <v>421</v>
      </c>
      <c r="E137" s="61">
        <v>0</v>
      </c>
      <c r="F137" s="61">
        <v>5802</v>
      </c>
      <c r="G137" s="56" t="str">
        <f>TEXT(TablaGastos[[#This Row],[Orden]],"00")&amp;" "&amp;TablaGastos[[#This Row],[Semana]]</f>
        <v>10 11 17 Ene</v>
      </c>
      <c r="H137" s="56" t="str">
        <f>_xlfn.XLOOKUP(TablaGastos[[#This Row],[Semana]],Pivots!$U$2:$U$30,Pivots!$Y$2:$Y$30)</f>
        <v>3-Ene</v>
      </c>
    </row>
    <row r="138" spans="1:8" x14ac:dyDescent="0.3">
      <c r="A138">
        <v>10</v>
      </c>
      <c r="B138" t="s">
        <v>354</v>
      </c>
      <c r="C138" t="s">
        <v>55</v>
      </c>
      <c r="D138" t="s">
        <v>342</v>
      </c>
      <c r="E138" s="61">
        <v>0</v>
      </c>
      <c r="F138" s="61">
        <v>37000</v>
      </c>
      <c r="G138" s="56" t="str">
        <f>TEXT(TablaGastos[[#This Row],[Orden]],"00")&amp;" "&amp;TablaGastos[[#This Row],[Semana]]</f>
        <v>10 11 17 Ene</v>
      </c>
      <c r="H138" s="56" t="str">
        <f>_xlfn.XLOOKUP(TablaGastos[[#This Row],[Semana]],Pivots!$U$2:$U$30,Pivots!$Y$2:$Y$30)</f>
        <v>3-Ene</v>
      </c>
    </row>
    <row r="139" spans="1:8" x14ac:dyDescent="0.3">
      <c r="A139">
        <v>10</v>
      </c>
      <c r="B139" t="s">
        <v>354</v>
      </c>
      <c r="C139" t="s">
        <v>144</v>
      </c>
      <c r="D139" t="s">
        <v>422</v>
      </c>
      <c r="E139" s="61">
        <v>0</v>
      </c>
      <c r="F139" s="61">
        <v>8460.6</v>
      </c>
      <c r="G139" s="56" t="str">
        <f>TEXT(TablaGastos[[#This Row],[Orden]],"00")&amp;" "&amp;TablaGastos[[#This Row],[Semana]]</f>
        <v>10 11 17 Ene</v>
      </c>
      <c r="H139" s="56" t="str">
        <f>_xlfn.XLOOKUP(TablaGastos[[#This Row],[Semana]],Pivots!$U$2:$U$30,Pivots!$Y$2:$Y$30)</f>
        <v>3-Ene</v>
      </c>
    </row>
    <row r="140" spans="1:8" x14ac:dyDescent="0.3">
      <c r="A140">
        <v>10</v>
      </c>
      <c r="B140" t="s">
        <v>354</v>
      </c>
      <c r="C140" t="s">
        <v>104</v>
      </c>
      <c r="D140" t="s">
        <v>422</v>
      </c>
      <c r="E140" s="61">
        <v>0</v>
      </c>
      <c r="F140" s="61">
        <v>9744</v>
      </c>
      <c r="G140" s="56" t="str">
        <f>TEXT(TablaGastos[[#This Row],[Orden]],"00")&amp;" "&amp;TablaGastos[[#This Row],[Semana]]</f>
        <v>10 11 17 Ene</v>
      </c>
      <c r="H140" s="56" t="str">
        <f>_xlfn.XLOOKUP(TablaGastos[[#This Row],[Semana]],Pivots!$U$2:$U$30,Pivots!$Y$2:$Y$30)</f>
        <v>3-Ene</v>
      </c>
    </row>
    <row r="141" spans="1:8" x14ac:dyDescent="0.3">
      <c r="A141">
        <v>10</v>
      </c>
      <c r="B141" t="s">
        <v>354</v>
      </c>
      <c r="C141" t="s">
        <v>132</v>
      </c>
      <c r="D141" t="s">
        <v>421</v>
      </c>
      <c r="E141" s="61">
        <v>0</v>
      </c>
      <c r="F141" s="61">
        <v>7389.2</v>
      </c>
      <c r="G141" s="56" t="str">
        <f>TEXT(TablaGastos[[#This Row],[Orden]],"00")&amp;" "&amp;TablaGastos[[#This Row],[Semana]]</f>
        <v>10 11 17 Ene</v>
      </c>
      <c r="H141" s="56" t="str">
        <f>_xlfn.XLOOKUP(TablaGastos[[#This Row],[Semana]],Pivots!$U$2:$U$30,Pivots!$Y$2:$Y$30)</f>
        <v>3-Ene</v>
      </c>
    </row>
    <row r="142" spans="1:8" x14ac:dyDescent="0.3">
      <c r="A142">
        <v>10</v>
      </c>
      <c r="B142" t="s">
        <v>354</v>
      </c>
      <c r="C142" t="s">
        <v>146</v>
      </c>
      <c r="D142" t="s">
        <v>342</v>
      </c>
      <c r="E142" s="61">
        <v>0</v>
      </c>
      <c r="F142" s="61">
        <v>9570</v>
      </c>
      <c r="G142" s="56" t="str">
        <f>TEXT(TablaGastos[[#This Row],[Orden]],"00")&amp;" "&amp;TablaGastos[[#This Row],[Semana]]</f>
        <v>10 11 17 Ene</v>
      </c>
      <c r="H142" s="56" t="str">
        <f>_xlfn.XLOOKUP(TablaGastos[[#This Row],[Semana]],Pivots!$U$2:$U$30,Pivots!$Y$2:$Y$30)</f>
        <v>3-Ene</v>
      </c>
    </row>
    <row r="143" spans="1:8" x14ac:dyDescent="0.3">
      <c r="A143">
        <v>10</v>
      </c>
      <c r="B143" t="s">
        <v>354</v>
      </c>
      <c r="C143" t="s">
        <v>147</v>
      </c>
      <c r="D143" t="s">
        <v>344</v>
      </c>
      <c r="E143" s="61">
        <v>0</v>
      </c>
      <c r="F143" s="61">
        <v>246.44</v>
      </c>
      <c r="G143" s="56" t="str">
        <f>TEXT(TablaGastos[[#This Row],[Orden]],"00")&amp;" "&amp;TablaGastos[[#This Row],[Semana]]</f>
        <v>10 11 17 Ene</v>
      </c>
      <c r="H143" s="56" t="str">
        <f>_xlfn.XLOOKUP(TablaGastos[[#This Row],[Semana]],Pivots!$U$2:$U$30,Pivots!$Y$2:$Y$30)</f>
        <v>3-Ene</v>
      </c>
    </row>
    <row r="144" spans="1:8" x14ac:dyDescent="0.3">
      <c r="A144">
        <v>10</v>
      </c>
      <c r="B144" t="s">
        <v>354</v>
      </c>
      <c r="C144" t="s">
        <v>148</v>
      </c>
      <c r="D144" t="s">
        <v>344</v>
      </c>
      <c r="E144" s="61">
        <v>0</v>
      </c>
      <c r="F144" s="61">
        <v>593.5</v>
      </c>
      <c r="G144" s="56" t="str">
        <f>TEXT(TablaGastos[[#This Row],[Orden]],"00")&amp;" "&amp;TablaGastos[[#This Row],[Semana]]</f>
        <v>10 11 17 Ene</v>
      </c>
      <c r="H144" s="56" t="str">
        <f>_xlfn.XLOOKUP(TablaGastos[[#This Row],[Semana]],Pivots!$U$2:$U$30,Pivots!$Y$2:$Y$30)</f>
        <v>3-Ene</v>
      </c>
    </row>
    <row r="145" spans="1:8" x14ac:dyDescent="0.3">
      <c r="A145">
        <v>10</v>
      </c>
      <c r="B145" t="s">
        <v>354</v>
      </c>
      <c r="C145" t="s">
        <v>149</v>
      </c>
      <c r="D145" t="s">
        <v>347</v>
      </c>
      <c r="E145" s="61">
        <v>0</v>
      </c>
      <c r="F145" s="61">
        <v>7900</v>
      </c>
      <c r="G145" s="56" t="str">
        <f>TEXT(TablaGastos[[#This Row],[Orden]],"00")&amp;" "&amp;TablaGastos[[#This Row],[Semana]]</f>
        <v>10 11 17 Ene</v>
      </c>
      <c r="H145" s="56" t="str">
        <f>_xlfn.XLOOKUP(TablaGastos[[#This Row],[Semana]],Pivots!$U$2:$U$30,Pivots!$Y$2:$Y$30)</f>
        <v>3-Ene</v>
      </c>
    </row>
    <row r="146" spans="1:8" x14ac:dyDescent="0.3">
      <c r="A146">
        <v>10</v>
      </c>
      <c r="B146" t="s">
        <v>354</v>
      </c>
      <c r="C146" t="s">
        <v>150</v>
      </c>
      <c r="D146" t="s">
        <v>355</v>
      </c>
      <c r="E146" s="61">
        <v>0</v>
      </c>
      <c r="F146" s="61">
        <v>47000</v>
      </c>
      <c r="G146" s="56" t="str">
        <f>TEXT(TablaGastos[[#This Row],[Orden]],"00")&amp;" "&amp;TablaGastos[[#This Row],[Semana]]</f>
        <v>10 11 17 Ene</v>
      </c>
      <c r="H146" s="56" t="str">
        <f>_xlfn.XLOOKUP(TablaGastos[[#This Row],[Semana]],Pivots!$U$2:$U$30,Pivots!$Y$2:$Y$30)</f>
        <v>3-Ene</v>
      </c>
    </row>
    <row r="147" spans="1:8" x14ac:dyDescent="0.3">
      <c r="A147">
        <v>10</v>
      </c>
      <c r="B147" t="s">
        <v>354</v>
      </c>
      <c r="C147" t="s">
        <v>151</v>
      </c>
      <c r="D147" t="s">
        <v>422</v>
      </c>
      <c r="E147" s="61">
        <v>0</v>
      </c>
      <c r="F147" s="61">
        <v>20000</v>
      </c>
      <c r="G147" s="56" t="str">
        <f>TEXT(TablaGastos[[#This Row],[Orden]],"00")&amp;" "&amp;TablaGastos[[#This Row],[Semana]]</f>
        <v>10 11 17 Ene</v>
      </c>
      <c r="H147" s="56" t="str">
        <f>_xlfn.XLOOKUP(TablaGastos[[#This Row],[Semana]],Pivots!$U$2:$U$30,Pivots!$Y$2:$Y$30)</f>
        <v>3-Ene</v>
      </c>
    </row>
    <row r="148" spans="1:8" x14ac:dyDescent="0.3">
      <c r="A148">
        <v>10</v>
      </c>
      <c r="B148" t="s">
        <v>354</v>
      </c>
      <c r="C148" t="s">
        <v>104</v>
      </c>
      <c r="D148" t="s">
        <v>422</v>
      </c>
      <c r="E148" s="61">
        <v>0</v>
      </c>
      <c r="F148" s="61">
        <v>13400</v>
      </c>
      <c r="G148" s="56" t="str">
        <f>TEXT(TablaGastos[[#This Row],[Orden]],"00")&amp;" "&amp;TablaGastos[[#This Row],[Semana]]</f>
        <v>10 11 17 Ene</v>
      </c>
      <c r="H148" s="56" t="str">
        <f>_xlfn.XLOOKUP(TablaGastos[[#This Row],[Semana]],Pivots!$U$2:$U$30,Pivots!$Y$2:$Y$30)</f>
        <v>3-Ene</v>
      </c>
    </row>
    <row r="149" spans="1:8" x14ac:dyDescent="0.3">
      <c r="A149">
        <v>10</v>
      </c>
      <c r="B149" t="s">
        <v>354</v>
      </c>
      <c r="C149" t="s">
        <v>152</v>
      </c>
      <c r="D149" t="s">
        <v>422</v>
      </c>
      <c r="E149" s="61">
        <v>0</v>
      </c>
      <c r="F149" s="61">
        <v>15000</v>
      </c>
      <c r="G149" s="56" t="str">
        <f>TEXT(TablaGastos[[#This Row],[Orden]],"00")&amp;" "&amp;TablaGastos[[#This Row],[Semana]]</f>
        <v>10 11 17 Ene</v>
      </c>
      <c r="H149" s="56" t="str">
        <f>_xlfn.XLOOKUP(TablaGastos[[#This Row],[Semana]],Pivots!$U$2:$U$30,Pivots!$Y$2:$Y$30)</f>
        <v>3-Ene</v>
      </c>
    </row>
    <row r="150" spans="1:8" x14ac:dyDescent="0.3">
      <c r="A150">
        <v>11</v>
      </c>
      <c r="B150" t="s">
        <v>356</v>
      </c>
      <c r="C150" t="s">
        <v>30</v>
      </c>
      <c r="D150" t="s">
        <v>342</v>
      </c>
      <c r="E150" s="61">
        <v>95000</v>
      </c>
      <c r="F150" s="61">
        <v>0</v>
      </c>
      <c r="G150" s="56" t="str">
        <f>TEXT(TablaGastos[[#This Row],[Orden]],"00")&amp;" "&amp;TablaGastos[[#This Row],[Semana]]</f>
        <v>11 19 24 Ene</v>
      </c>
      <c r="H150" s="56" t="str">
        <f>_xlfn.XLOOKUP(TablaGastos[[#This Row],[Semana]],Pivots!$U$2:$U$30,Pivots!$Y$2:$Y$30)</f>
        <v>3-Ene</v>
      </c>
    </row>
    <row r="151" spans="1:8" x14ac:dyDescent="0.3">
      <c r="A151">
        <v>11</v>
      </c>
      <c r="B151" t="s">
        <v>356</v>
      </c>
      <c r="C151" t="s">
        <v>41</v>
      </c>
      <c r="D151" t="s">
        <v>342</v>
      </c>
      <c r="E151" s="61">
        <v>25250</v>
      </c>
      <c r="F151" s="61">
        <v>0</v>
      </c>
      <c r="G151" s="56" t="str">
        <f>TEXT(TablaGastos[[#This Row],[Orden]],"00")&amp;" "&amp;TablaGastos[[#This Row],[Semana]]</f>
        <v>11 19 24 Ene</v>
      </c>
      <c r="H151" s="56" t="str">
        <f>_xlfn.XLOOKUP(TablaGastos[[#This Row],[Semana]],Pivots!$U$2:$U$30,Pivots!$Y$2:$Y$30)</f>
        <v>3-Ene</v>
      </c>
    </row>
    <row r="152" spans="1:8" x14ac:dyDescent="0.3">
      <c r="A152">
        <v>11</v>
      </c>
      <c r="B152" t="s">
        <v>356</v>
      </c>
      <c r="C152" t="s">
        <v>49</v>
      </c>
      <c r="D152" t="s">
        <v>342</v>
      </c>
      <c r="E152" s="61">
        <v>0</v>
      </c>
      <c r="F152" s="61">
        <v>49247.8</v>
      </c>
      <c r="G152" s="56" t="str">
        <f>TEXT(TablaGastos[[#This Row],[Orden]],"00")&amp;" "&amp;TablaGastos[[#This Row],[Semana]]</f>
        <v>11 19 24 Ene</v>
      </c>
      <c r="H152" s="56" t="str">
        <f>_xlfn.XLOOKUP(TablaGastos[[#This Row],[Semana]],Pivots!$U$2:$U$30,Pivots!$Y$2:$Y$30)</f>
        <v>3-Ene</v>
      </c>
    </row>
    <row r="153" spans="1:8" x14ac:dyDescent="0.3">
      <c r="A153">
        <v>11</v>
      </c>
      <c r="B153" t="s">
        <v>356</v>
      </c>
      <c r="C153" t="s">
        <v>107</v>
      </c>
      <c r="D153" t="s">
        <v>421</v>
      </c>
      <c r="E153" s="61">
        <v>6632.96</v>
      </c>
      <c r="F153" s="61">
        <v>0</v>
      </c>
      <c r="G153" s="56" t="str">
        <f>TEXT(TablaGastos[[#This Row],[Orden]],"00")&amp;" "&amp;TablaGastos[[#This Row],[Semana]]</f>
        <v>11 19 24 Ene</v>
      </c>
      <c r="H153" s="56" t="str">
        <f>_xlfn.XLOOKUP(TablaGastos[[#This Row],[Semana]],Pivots!$U$2:$U$30,Pivots!$Y$2:$Y$30)</f>
        <v>3-Ene</v>
      </c>
    </row>
    <row r="154" spans="1:8" x14ac:dyDescent="0.3">
      <c r="A154">
        <v>11</v>
      </c>
      <c r="B154" t="s">
        <v>356</v>
      </c>
      <c r="C154" t="s">
        <v>150</v>
      </c>
      <c r="D154" t="s">
        <v>355</v>
      </c>
      <c r="E154" s="61">
        <v>0</v>
      </c>
      <c r="F154" s="61">
        <v>47000</v>
      </c>
      <c r="G154" s="56" t="str">
        <f>TEXT(TablaGastos[[#This Row],[Orden]],"00")&amp;" "&amp;TablaGastos[[#This Row],[Semana]]</f>
        <v>11 19 24 Ene</v>
      </c>
      <c r="H154" s="56" t="str">
        <f>_xlfn.XLOOKUP(TablaGastos[[#This Row],[Semana]],Pivots!$U$2:$U$30,Pivots!$Y$2:$Y$30)</f>
        <v>3-Ene</v>
      </c>
    </row>
    <row r="155" spans="1:8" x14ac:dyDescent="0.3">
      <c r="A155">
        <v>11</v>
      </c>
      <c r="B155" t="s">
        <v>356</v>
      </c>
      <c r="C155" t="s">
        <v>104</v>
      </c>
      <c r="D155" t="s">
        <v>422</v>
      </c>
      <c r="E155" s="61">
        <v>3897.6</v>
      </c>
      <c r="F155" s="61">
        <v>0</v>
      </c>
      <c r="G155" s="56" t="str">
        <f>TEXT(TablaGastos[[#This Row],[Orden]],"00")&amp;" "&amp;TablaGastos[[#This Row],[Semana]]</f>
        <v>11 19 24 Ene</v>
      </c>
      <c r="H155" s="56" t="str">
        <f>_xlfn.XLOOKUP(TablaGastos[[#This Row],[Semana]],Pivots!$U$2:$U$30,Pivots!$Y$2:$Y$30)</f>
        <v>3-Ene</v>
      </c>
    </row>
    <row r="156" spans="1:8" x14ac:dyDescent="0.3">
      <c r="A156">
        <v>11</v>
      </c>
      <c r="B156" t="s">
        <v>356</v>
      </c>
      <c r="C156" t="s">
        <v>155</v>
      </c>
      <c r="D156" t="s">
        <v>422</v>
      </c>
      <c r="E156" s="61">
        <v>16800</v>
      </c>
      <c r="F156" s="61">
        <v>0</v>
      </c>
      <c r="G156" s="56" t="str">
        <f>TEXT(TablaGastos[[#This Row],[Orden]],"00")&amp;" "&amp;TablaGastos[[#This Row],[Semana]]</f>
        <v>11 19 24 Ene</v>
      </c>
      <c r="H156" s="56" t="str">
        <f>_xlfn.XLOOKUP(TablaGastos[[#This Row],[Semana]],Pivots!$U$2:$U$30,Pivots!$Y$2:$Y$30)</f>
        <v>3-Ene</v>
      </c>
    </row>
    <row r="157" spans="1:8" x14ac:dyDescent="0.3">
      <c r="A157">
        <v>12</v>
      </c>
      <c r="B157" t="s">
        <v>357</v>
      </c>
      <c r="C157" t="s">
        <v>30</v>
      </c>
      <c r="D157" t="s">
        <v>342</v>
      </c>
      <c r="E157" s="61">
        <v>120000</v>
      </c>
      <c r="F157" s="61">
        <v>0</v>
      </c>
      <c r="G157" s="56" t="str">
        <f>TEXT(TablaGastos[[#This Row],[Orden]],"00")&amp;" "&amp;TablaGastos[[#This Row],[Semana]]</f>
        <v>12 26 31 Ene</v>
      </c>
      <c r="H157" s="56" t="str">
        <f>_xlfn.XLOOKUP(TablaGastos[[#This Row],[Semana]],Pivots!$U$2:$U$30,Pivots!$Y$2:$Y$30)</f>
        <v>3-Ene</v>
      </c>
    </row>
    <row r="158" spans="1:8" x14ac:dyDescent="0.3">
      <c r="A158">
        <v>12</v>
      </c>
      <c r="B158" t="s">
        <v>357</v>
      </c>
      <c r="C158" t="s">
        <v>41</v>
      </c>
      <c r="D158" t="s">
        <v>342</v>
      </c>
      <c r="E158" s="61">
        <v>14950</v>
      </c>
      <c r="F158" s="61">
        <v>0</v>
      </c>
      <c r="G158" s="56" t="str">
        <f>TEXT(TablaGastos[[#This Row],[Orden]],"00")&amp;" "&amp;TablaGastos[[#This Row],[Semana]]</f>
        <v>12 26 31 Ene</v>
      </c>
      <c r="H158" s="56" t="str">
        <f>_xlfn.XLOOKUP(TablaGastos[[#This Row],[Semana]],Pivots!$U$2:$U$30,Pivots!$Y$2:$Y$30)</f>
        <v>3-Ene</v>
      </c>
    </row>
    <row r="159" spans="1:8" x14ac:dyDescent="0.3">
      <c r="A159">
        <v>12</v>
      </c>
      <c r="B159" t="s">
        <v>357</v>
      </c>
      <c r="C159" t="s">
        <v>2</v>
      </c>
      <c r="D159" t="s">
        <v>342</v>
      </c>
      <c r="E159" s="61">
        <v>0</v>
      </c>
      <c r="F159" s="61">
        <v>20000</v>
      </c>
      <c r="G159" s="56" t="str">
        <f>TEXT(TablaGastos[[#This Row],[Orden]],"00")&amp;" "&amp;TablaGastos[[#This Row],[Semana]]</f>
        <v>12 26 31 Ene</v>
      </c>
      <c r="H159" s="56" t="str">
        <f>_xlfn.XLOOKUP(TablaGastos[[#This Row],[Semana]],Pivots!$U$2:$U$30,Pivots!$Y$2:$Y$30)</f>
        <v>3-Ene</v>
      </c>
    </row>
    <row r="160" spans="1:8" x14ac:dyDescent="0.3">
      <c r="A160">
        <v>12</v>
      </c>
      <c r="B160" t="s">
        <v>357</v>
      </c>
      <c r="C160" t="s">
        <v>37</v>
      </c>
      <c r="D160" t="s">
        <v>342</v>
      </c>
      <c r="E160" s="61">
        <v>15000</v>
      </c>
      <c r="F160" s="61">
        <v>0</v>
      </c>
      <c r="G160" s="56" t="str">
        <f>TEXT(TablaGastos[[#This Row],[Orden]],"00")&amp;" "&amp;TablaGastos[[#This Row],[Semana]]</f>
        <v>12 26 31 Ene</v>
      </c>
      <c r="H160" s="56" t="str">
        <f>_xlfn.XLOOKUP(TablaGastos[[#This Row],[Semana]],Pivots!$U$2:$U$30,Pivots!$Y$2:$Y$30)</f>
        <v>3-Ene</v>
      </c>
    </row>
    <row r="161" spans="1:8" x14ac:dyDescent="0.3">
      <c r="A161">
        <v>12</v>
      </c>
      <c r="B161" t="s">
        <v>357</v>
      </c>
      <c r="C161" t="s">
        <v>102</v>
      </c>
      <c r="D161" t="s">
        <v>342</v>
      </c>
      <c r="E161" s="61">
        <v>0</v>
      </c>
      <c r="F161" s="61">
        <v>8526</v>
      </c>
      <c r="G161" s="56" t="str">
        <f>TEXT(TablaGastos[[#This Row],[Orden]],"00")&amp;" "&amp;TablaGastos[[#This Row],[Semana]]</f>
        <v>12 26 31 Ene</v>
      </c>
      <c r="H161" s="56" t="str">
        <f>_xlfn.XLOOKUP(TablaGastos[[#This Row],[Semana]],Pivots!$U$2:$U$30,Pivots!$Y$2:$Y$30)</f>
        <v>3-Ene</v>
      </c>
    </row>
    <row r="162" spans="1:8" x14ac:dyDescent="0.3">
      <c r="A162">
        <v>12</v>
      </c>
      <c r="B162" t="s">
        <v>357</v>
      </c>
      <c r="C162" t="s">
        <v>49</v>
      </c>
      <c r="D162" t="s">
        <v>342</v>
      </c>
      <c r="E162" s="61">
        <v>0</v>
      </c>
      <c r="F162" s="61">
        <v>49247.8</v>
      </c>
      <c r="G162" s="56" t="str">
        <f>TEXT(TablaGastos[[#This Row],[Orden]],"00")&amp;" "&amp;TablaGastos[[#This Row],[Semana]]</f>
        <v>12 26 31 Ene</v>
      </c>
      <c r="H162" s="56" t="str">
        <f>_xlfn.XLOOKUP(TablaGastos[[#This Row],[Semana]],Pivots!$U$2:$U$30,Pivots!$Y$2:$Y$30)</f>
        <v>3-Ene</v>
      </c>
    </row>
    <row r="163" spans="1:8" x14ac:dyDescent="0.3">
      <c r="A163">
        <v>12</v>
      </c>
      <c r="B163" t="s">
        <v>357</v>
      </c>
      <c r="C163" t="s">
        <v>157</v>
      </c>
      <c r="D163" t="s">
        <v>422</v>
      </c>
      <c r="E163" s="61">
        <v>0</v>
      </c>
      <c r="F163" s="61">
        <v>2987</v>
      </c>
      <c r="G163" s="56" t="str">
        <f>TEXT(TablaGastos[[#This Row],[Orden]],"00")&amp;" "&amp;TablaGastos[[#This Row],[Semana]]</f>
        <v>12 26 31 Ene</v>
      </c>
      <c r="H163" s="56" t="str">
        <f>_xlfn.XLOOKUP(TablaGastos[[#This Row],[Semana]],Pivots!$U$2:$U$30,Pivots!$Y$2:$Y$30)</f>
        <v>3-Ene</v>
      </c>
    </row>
    <row r="164" spans="1:8" x14ac:dyDescent="0.3">
      <c r="A164">
        <v>12</v>
      </c>
      <c r="B164" t="s">
        <v>357</v>
      </c>
      <c r="C164" t="s">
        <v>52</v>
      </c>
      <c r="D164" t="s">
        <v>422</v>
      </c>
      <c r="E164" s="61">
        <v>0</v>
      </c>
      <c r="F164" s="61">
        <v>16240</v>
      </c>
      <c r="G164" s="56" t="str">
        <f>TEXT(TablaGastos[[#This Row],[Orden]],"00")&amp;" "&amp;TablaGastos[[#This Row],[Semana]]</f>
        <v>12 26 31 Ene</v>
      </c>
      <c r="H164" s="56" t="str">
        <f>_xlfn.XLOOKUP(TablaGastos[[#This Row],[Semana]],Pivots!$U$2:$U$30,Pivots!$Y$2:$Y$30)</f>
        <v>3-Ene</v>
      </c>
    </row>
    <row r="165" spans="1:8" x14ac:dyDescent="0.3">
      <c r="A165">
        <v>12</v>
      </c>
      <c r="B165" t="s">
        <v>357</v>
      </c>
      <c r="C165" t="s">
        <v>53</v>
      </c>
      <c r="D165" t="s">
        <v>422</v>
      </c>
      <c r="E165" s="61">
        <v>0</v>
      </c>
      <c r="F165" s="61">
        <v>35178</v>
      </c>
      <c r="G165" s="56" t="str">
        <f>TEXT(TablaGastos[[#This Row],[Orden]],"00")&amp;" "&amp;TablaGastos[[#This Row],[Semana]]</f>
        <v>12 26 31 Ene</v>
      </c>
      <c r="H165" s="56" t="str">
        <f>_xlfn.XLOOKUP(TablaGastos[[#This Row],[Semana]],Pivots!$U$2:$U$30,Pivots!$Y$2:$Y$30)</f>
        <v>3-Ene</v>
      </c>
    </row>
    <row r="166" spans="1:8" x14ac:dyDescent="0.3">
      <c r="A166">
        <v>12</v>
      </c>
      <c r="B166" t="s">
        <v>357</v>
      </c>
      <c r="C166" t="s">
        <v>107</v>
      </c>
      <c r="D166" t="s">
        <v>421</v>
      </c>
      <c r="E166" s="61">
        <v>13226</v>
      </c>
      <c r="F166" s="61">
        <v>0</v>
      </c>
      <c r="G166" s="56" t="str">
        <f>TEXT(TablaGastos[[#This Row],[Orden]],"00")&amp;" "&amp;TablaGastos[[#This Row],[Semana]]</f>
        <v>12 26 31 Ene</v>
      </c>
      <c r="H166" s="56" t="str">
        <f>_xlfn.XLOOKUP(TablaGastos[[#This Row],[Semana]],Pivots!$U$2:$U$30,Pivots!$Y$2:$Y$30)</f>
        <v>3-Ene</v>
      </c>
    </row>
    <row r="167" spans="1:8" x14ac:dyDescent="0.3">
      <c r="A167">
        <v>12</v>
      </c>
      <c r="B167" t="s">
        <v>357</v>
      </c>
      <c r="C167" t="s">
        <v>55</v>
      </c>
      <c r="D167" t="s">
        <v>342</v>
      </c>
      <c r="E167" s="61">
        <v>0</v>
      </c>
      <c r="F167" s="61">
        <v>28500</v>
      </c>
      <c r="G167" s="56" t="str">
        <f>TEXT(TablaGastos[[#This Row],[Orden]],"00")&amp;" "&amp;TablaGastos[[#This Row],[Semana]]</f>
        <v>12 26 31 Ene</v>
      </c>
      <c r="H167" s="56" t="str">
        <f>_xlfn.XLOOKUP(TablaGastos[[#This Row],[Semana]],Pivots!$U$2:$U$30,Pivots!$Y$2:$Y$30)</f>
        <v>3-Ene</v>
      </c>
    </row>
    <row r="168" spans="1:8" x14ac:dyDescent="0.3">
      <c r="A168">
        <v>12</v>
      </c>
      <c r="B168" t="s">
        <v>357</v>
      </c>
      <c r="C168" t="s">
        <v>55</v>
      </c>
      <c r="D168" t="s">
        <v>342</v>
      </c>
      <c r="E168" s="61">
        <v>0</v>
      </c>
      <c r="F168" s="61">
        <v>25500</v>
      </c>
      <c r="G168" s="56" t="str">
        <f>TEXT(TablaGastos[[#This Row],[Orden]],"00")&amp;" "&amp;TablaGastos[[#This Row],[Semana]]</f>
        <v>12 26 31 Ene</v>
      </c>
      <c r="H168" s="56" t="str">
        <f>_xlfn.XLOOKUP(TablaGastos[[#This Row],[Semana]],Pivots!$U$2:$U$30,Pivots!$Y$2:$Y$30)</f>
        <v>3-Ene</v>
      </c>
    </row>
    <row r="169" spans="1:8" x14ac:dyDescent="0.3">
      <c r="A169">
        <v>12</v>
      </c>
      <c r="B169" t="s">
        <v>357</v>
      </c>
      <c r="C169" t="s">
        <v>159</v>
      </c>
      <c r="D169" t="s">
        <v>344</v>
      </c>
      <c r="E169" s="61">
        <v>0</v>
      </c>
      <c r="F169" s="61">
        <v>10000</v>
      </c>
      <c r="G169" s="56" t="str">
        <f>TEXT(TablaGastos[[#This Row],[Orden]],"00")&amp;" "&amp;TablaGastos[[#This Row],[Semana]]</f>
        <v>12 26 31 Ene</v>
      </c>
      <c r="H169" s="56" t="str">
        <f>_xlfn.XLOOKUP(TablaGastos[[#This Row],[Semana]],Pivots!$U$2:$U$30,Pivots!$Y$2:$Y$30)</f>
        <v>3-Ene</v>
      </c>
    </row>
    <row r="170" spans="1:8" x14ac:dyDescent="0.3">
      <c r="A170">
        <v>12</v>
      </c>
      <c r="B170" t="s">
        <v>357</v>
      </c>
      <c r="C170" t="s">
        <v>132</v>
      </c>
      <c r="D170" t="s">
        <v>421</v>
      </c>
      <c r="E170" s="61">
        <v>0</v>
      </c>
      <c r="F170" s="61">
        <v>5007</v>
      </c>
      <c r="G170" s="56" t="str">
        <f>TEXT(TablaGastos[[#This Row],[Orden]],"00")&amp;" "&amp;TablaGastos[[#This Row],[Semana]]</f>
        <v>12 26 31 Ene</v>
      </c>
      <c r="H170" s="56" t="str">
        <f>_xlfn.XLOOKUP(TablaGastos[[#This Row],[Semana]],Pivots!$U$2:$U$30,Pivots!$Y$2:$Y$30)</f>
        <v>3-Ene</v>
      </c>
    </row>
    <row r="171" spans="1:8" x14ac:dyDescent="0.3">
      <c r="A171">
        <v>12</v>
      </c>
      <c r="B171" t="s">
        <v>357</v>
      </c>
      <c r="C171" t="s">
        <v>1</v>
      </c>
      <c r="D171" t="s">
        <v>347</v>
      </c>
      <c r="E171" s="61">
        <v>30000</v>
      </c>
      <c r="F171" s="61">
        <v>10000</v>
      </c>
      <c r="G171" s="56" t="str">
        <f>TEXT(TablaGastos[[#This Row],[Orden]],"00")&amp;" "&amp;TablaGastos[[#This Row],[Semana]]</f>
        <v>12 26 31 Ene</v>
      </c>
      <c r="H171" s="56" t="str">
        <f>_xlfn.XLOOKUP(TablaGastos[[#This Row],[Semana]],Pivots!$U$2:$U$30,Pivots!$Y$2:$Y$30)</f>
        <v>3-Ene</v>
      </c>
    </row>
    <row r="172" spans="1:8" x14ac:dyDescent="0.3">
      <c r="A172">
        <v>12</v>
      </c>
      <c r="B172" t="s">
        <v>357</v>
      </c>
      <c r="C172" t="s">
        <v>150</v>
      </c>
      <c r="D172" t="s">
        <v>355</v>
      </c>
      <c r="E172" s="61">
        <v>0</v>
      </c>
      <c r="F172" s="61">
        <v>47000</v>
      </c>
      <c r="G172" s="56" t="str">
        <f>TEXT(TablaGastos[[#This Row],[Orden]],"00")&amp;" "&amp;TablaGastos[[#This Row],[Semana]]</f>
        <v>12 26 31 Ene</v>
      </c>
      <c r="H172" s="56" t="str">
        <f>_xlfn.XLOOKUP(TablaGastos[[#This Row],[Semana]],Pivots!$U$2:$U$30,Pivots!$Y$2:$Y$30)</f>
        <v>3-Ene</v>
      </c>
    </row>
    <row r="173" spans="1:8" x14ac:dyDescent="0.3">
      <c r="A173">
        <v>12</v>
      </c>
      <c r="B173" t="s">
        <v>357</v>
      </c>
      <c r="C173" t="s">
        <v>160</v>
      </c>
      <c r="D173" t="s">
        <v>422</v>
      </c>
      <c r="E173" s="61">
        <v>0</v>
      </c>
      <c r="F173" s="61">
        <v>8700</v>
      </c>
      <c r="G173" s="56" t="str">
        <f>TEXT(TablaGastos[[#This Row],[Orden]],"00")&amp;" "&amp;TablaGastos[[#This Row],[Semana]]</f>
        <v>12 26 31 Ene</v>
      </c>
      <c r="H173" s="56" t="str">
        <f>_xlfn.XLOOKUP(TablaGastos[[#This Row],[Semana]],Pivots!$U$2:$U$30,Pivots!$Y$2:$Y$30)</f>
        <v>3-Ene</v>
      </c>
    </row>
    <row r="174" spans="1:8" x14ac:dyDescent="0.3">
      <c r="A174">
        <v>12</v>
      </c>
      <c r="B174" t="s">
        <v>357</v>
      </c>
      <c r="C174" t="s">
        <v>161</v>
      </c>
      <c r="D174" t="s">
        <v>422</v>
      </c>
      <c r="E174" s="61">
        <v>9802</v>
      </c>
      <c r="F174" s="61">
        <v>0</v>
      </c>
      <c r="G174" s="56" t="str">
        <f>TEXT(TablaGastos[[#This Row],[Orden]],"00")&amp;" "&amp;TablaGastos[[#This Row],[Semana]]</f>
        <v>12 26 31 Ene</v>
      </c>
      <c r="H174" s="56" t="str">
        <f>_xlfn.XLOOKUP(TablaGastos[[#This Row],[Semana]],Pivots!$U$2:$U$30,Pivots!$Y$2:$Y$30)</f>
        <v>3-Ene</v>
      </c>
    </row>
    <row r="175" spans="1:8" x14ac:dyDescent="0.3">
      <c r="A175">
        <v>13</v>
      </c>
      <c r="B175" t="s">
        <v>358</v>
      </c>
      <c r="C175" t="s">
        <v>30</v>
      </c>
      <c r="D175" t="s">
        <v>342</v>
      </c>
      <c r="E175" s="61">
        <v>110000</v>
      </c>
      <c r="F175" s="61">
        <v>0</v>
      </c>
      <c r="G175" s="56" t="str">
        <f>TEXT(TablaGastos[[#This Row],[Orden]],"00")&amp;" "&amp;TablaGastos[[#This Row],[Semana]]</f>
        <v>13 01 07 Feb</v>
      </c>
      <c r="H175" s="56" t="str">
        <f>_xlfn.XLOOKUP(TablaGastos[[#This Row],[Semana]],Pivots!$U$2:$U$30,Pivots!$Y$2:$Y$30)</f>
        <v>4-Feb</v>
      </c>
    </row>
    <row r="176" spans="1:8" x14ac:dyDescent="0.3">
      <c r="A176">
        <v>13</v>
      </c>
      <c r="B176" t="s">
        <v>358</v>
      </c>
      <c r="C176" t="s">
        <v>41</v>
      </c>
      <c r="D176" t="s">
        <v>342</v>
      </c>
      <c r="E176" s="61">
        <v>19950</v>
      </c>
      <c r="F176" s="61">
        <v>0</v>
      </c>
      <c r="G176" s="56" t="str">
        <f>TEXT(TablaGastos[[#This Row],[Orden]],"00")&amp;" "&amp;TablaGastos[[#This Row],[Semana]]</f>
        <v>13 01 07 Feb</v>
      </c>
      <c r="H176" s="56" t="str">
        <f>_xlfn.XLOOKUP(TablaGastos[[#This Row],[Semana]],Pivots!$U$2:$U$30,Pivots!$Y$2:$Y$30)</f>
        <v>4-Feb</v>
      </c>
    </row>
    <row r="177" spans="1:8" x14ac:dyDescent="0.3">
      <c r="A177">
        <v>13</v>
      </c>
      <c r="B177" t="s">
        <v>358</v>
      </c>
      <c r="C177" t="s">
        <v>2</v>
      </c>
      <c r="D177" t="s">
        <v>342</v>
      </c>
      <c r="E177" s="61">
        <v>29000</v>
      </c>
      <c r="F177" s="61">
        <v>0</v>
      </c>
      <c r="G177" s="56" t="str">
        <f>TEXT(TablaGastos[[#This Row],[Orden]],"00")&amp;" "&amp;TablaGastos[[#This Row],[Semana]]</f>
        <v>13 01 07 Feb</v>
      </c>
      <c r="H177" s="56" t="str">
        <f>_xlfn.XLOOKUP(TablaGastos[[#This Row],[Semana]],Pivots!$U$2:$U$30,Pivots!$Y$2:$Y$30)</f>
        <v>4-Feb</v>
      </c>
    </row>
    <row r="178" spans="1:8" x14ac:dyDescent="0.3">
      <c r="A178">
        <v>13</v>
      </c>
      <c r="B178" t="s">
        <v>358</v>
      </c>
      <c r="C178" t="s">
        <v>37</v>
      </c>
      <c r="D178" t="s">
        <v>342</v>
      </c>
      <c r="E178" s="61">
        <v>20000</v>
      </c>
      <c r="F178" s="61">
        <v>0</v>
      </c>
      <c r="G178" s="56" t="str">
        <f>TEXT(TablaGastos[[#This Row],[Orden]],"00")&amp;" "&amp;TablaGastos[[#This Row],[Semana]]</f>
        <v>13 01 07 Feb</v>
      </c>
      <c r="H178" s="56" t="str">
        <f>_xlfn.XLOOKUP(TablaGastos[[#This Row],[Semana]],Pivots!$U$2:$U$30,Pivots!$Y$2:$Y$30)</f>
        <v>4-Feb</v>
      </c>
    </row>
    <row r="179" spans="1:8" x14ac:dyDescent="0.3">
      <c r="A179">
        <v>13</v>
      </c>
      <c r="B179" t="s">
        <v>358</v>
      </c>
      <c r="C179" t="s">
        <v>102</v>
      </c>
      <c r="D179" t="s">
        <v>342</v>
      </c>
      <c r="E179" s="61">
        <v>0</v>
      </c>
      <c r="F179" s="61">
        <v>8526</v>
      </c>
      <c r="G179" s="56" t="str">
        <f>TEXT(TablaGastos[[#This Row],[Orden]],"00")&amp;" "&amp;TablaGastos[[#This Row],[Semana]]</f>
        <v>13 01 07 Feb</v>
      </c>
      <c r="H179" s="56" t="str">
        <f>_xlfn.XLOOKUP(TablaGastos[[#This Row],[Semana]],Pivots!$U$2:$U$30,Pivots!$Y$2:$Y$30)</f>
        <v>4-Feb</v>
      </c>
    </row>
    <row r="180" spans="1:8" x14ac:dyDescent="0.3">
      <c r="A180">
        <v>13</v>
      </c>
      <c r="B180" t="s">
        <v>358</v>
      </c>
      <c r="C180" t="s">
        <v>49</v>
      </c>
      <c r="D180" t="s">
        <v>342</v>
      </c>
      <c r="E180" s="61">
        <v>0</v>
      </c>
      <c r="F180" s="61">
        <v>49247.8</v>
      </c>
      <c r="G180" s="56" t="str">
        <f>TEXT(TablaGastos[[#This Row],[Orden]],"00")&amp;" "&amp;TablaGastos[[#This Row],[Semana]]</f>
        <v>13 01 07 Feb</v>
      </c>
      <c r="H180" s="56" t="str">
        <f>_xlfn.XLOOKUP(TablaGastos[[#This Row],[Semana]],Pivots!$U$2:$U$30,Pivots!$Y$2:$Y$30)</f>
        <v>4-Feb</v>
      </c>
    </row>
    <row r="181" spans="1:8" x14ac:dyDescent="0.3">
      <c r="A181">
        <v>13</v>
      </c>
      <c r="B181" t="s">
        <v>358</v>
      </c>
      <c r="C181" t="s">
        <v>53</v>
      </c>
      <c r="D181" t="s">
        <v>422</v>
      </c>
      <c r="E181" s="61">
        <v>0</v>
      </c>
      <c r="F181" s="61">
        <v>35178</v>
      </c>
      <c r="G181" s="56" t="str">
        <f>TEXT(TablaGastos[[#This Row],[Orden]],"00")&amp;" "&amp;TablaGastos[[#This Row],[Semana]]</f>
        <v>13 01 07 Feb</v>
      </c>
      <c r="H181" s="56" t="str">
        <f>_xlfn.XLOOKUP(TablaGastos[[#This Row],[Semana]],Pivots!$U$2:$U$30,Pivots!$Y$2:$Y$30)</f>
        <v>4-Feb</v>
      </c>
    </row>
    <row r="182" spans="1:8" x14ac:dyDescent="0.3">
      <c r="A182">
        <v>13</v>
      </c>
      <c r="B182" t="s">
        <v>358</v>
      </c>
      <c r="C182" t="s">
        <v>107</v>
      </c>
      <c r="D182" t="s">
        <v>421</v>
      </c>
      <c r="E182" s="61">
        <v>5608</v>
      </c>
      <c r="F182" s="61">
        <v>0</v>
      </c>
      <c r="G182" s="56" t="str">
        <f>TEXT(TablaGastos[[#This Row],[Orden]],"00")&amp;" "&amp;TablaGastos[[#This Row],[Semana]]</f>
        <v>13 01 07 Feb</v>
      </c>
      <c r="H182" s="56" t="str">
        <f>_xlfn.XLOOKUP(TablaGastos[[#This Row],[Semana]],Pivots!$U$2:$U$30,Pivots!$Y$2:$Y$30)</f>
        <v>4-Feb</v>
      </c>
    </row>
    <row r="183" spans="1:8" x14ac:dyDescent="0.3">
      <c r="A183">
        <v>13</v>
      </c>
      <c r="B183" t="s">
        <v>358</v>
      </c>
      <c r="C183" t="s">
        <v>55</v>
      </c>
      <c r="D183" t="s">
        <v>342</v>
      </c>
      <c r="E183" s="61">
        <v>0</v>
      </c>
      <c r="F183" s="61">
        <v>28500</v>
      </c>
      <c r="G183" s="56" t="str">
        <f>TEXT(TablaGastos[[#This Row],[Orden]],"00")&amp;" "&amp;TablaGastos[[#This Row],[Semana]]</f>
        <v>13 01 07 Feb</v>
      </c>
      <c r="H183" s="56" t="str">
        <f>_xlfn.XLOOKUP(TablaGastos[[#This Row],[Semana]],Pivots!$U$2:$U$30,Pivots!$Y$2:$Y$30)</f>
        <v>4-Feb</v>
      </c>
    </row>
    <row r="184" spans="1:8" x14ac:dyDescent="0.3">
      <c r="A184">
        <v>13</v>
      </c>
      <c r="B184" t="s">
        <v>358</v>
      </c>
      <c r="C184" t="s">
        <v>170</v>
      </c>
      <c r="D184" t="s">
        <v>422</v>
      </c>
      <c r="E184" s="61">
        <v>44000</v>
      </c>
      <c r="F184" s="61">
        <v>0</v>
      </c>
      <c r="G184" s="56" t="str">
        <f>TEXT(TablaGastos[[#This Row],[Orden]],"00")&amp;" "&amp;TablaGastos[[#This Row],[Semana]]</f>
        <v>13 01 07 Feb</v>
      </c>
      <c r="H184" s="56" t="str">
        <f>_xlfn.XLOOKUP(TablaGastos[[#This Row],[Semana]],Pivots!$U$2:$U$30,Pivots!$Y$2:$Y$30)</f>
        <v>4-Feb</v>
      </c>
    </row>
    <row r="185" spans="1:8" x14ac:dyDescent="0.3">
      <c r="A185">
        <v>13</v>
      </c>
      <c r="B185" t="s">
        <v>358</v>
      </c>
      <c r="C185" t="s">
        <v>1</v>
      </c>
      <c r="D185" t="s">
        <v>347</v>
      </c>
      <c r="E185" s="61">
        <v>0</v>
      </c>
      <c r="F185" s="61">
        <v>30000</v>
      </c>
      <c r="G185" s="56" t="str">
        <f>TEXT(TablaGastos[[#This Row],[Orden]],"00")&amp;" "&amp;TablaGastos[[#This Row],[Semana]]</f>
        <v>13 01 07 Feb</v>
      </c>
      <c r="H185" s="56" t="str">
        <f>_xlfn.XLOOKUP(TablaGastos[[#This Row],[Semana]],Pivots!$U$2:$U$30,Pivots!$Y$2:$Y$30)</f>
        <v>4-Feb</v>
      </c>
    </row>
    <row r="186" spans="1:8" x14ac:dyDescent="0.3">
      <c r="A186">
        <v>13</v>
      </c>
      <c r="B186" t="s">
        <v>358</v>
      </c>
      <c r="C186" t="s">
        <v>150</v>
      </c>
      <c r="D186" t="s">
        <v>355</v>
      </c>
      <c r="E186" s="61">
        <v>0</v>
      </c>
      <c r="F186" s="61">
        <v>47000</v>
      </c>
      <c r="G186" s="56" t="str">
        <f>TEXT(TablaGastos[[#This Row],[Orden]],"00")&amp;" "&amp;TablaGastos[[#This Row],[Semana]]</f>
        <v>13 01 07 Feb</v>
      </c>
      <c r="H186" s="56" t="str">
        <f>_xlfn.XLOOKUP(TablaGastos[[#This Row],[Semana]],Pivots!$U$2:$U$30,Pivots!$Y$2:$Y$30)</f>
        <v>4-Feb</v>
      </c>
    </row>
    <row r="187" spans="1:8" x14ac:dyDescent="0.3">
      <c r="A187">
        <v>13</v>
      </c>
      <c r="B187" t="s">
        <v>358</v>
      </c>
      <c r="C187" t="s">
        <v>161</v>
      </c>
      <c r="D187" t="s">
        <v>422</v>
      </c>
      <c r="E187" s="61">
        <v>0</v>
      </c>
      <c r="F187" s="61">
        <v>9802</v>
      </c>
      <c r="G187" s="56" t="str">
        <f>TEXT(TablaGastos[[#This Row],[Orden]],"00")&amp;" "&amp;TablaGastos[[#This Row],[Semana]]</f>
        <v>13 01 07 Feb</v>
      </c>
      <c r="H187" s="56" t="str">
        <f>_xlfn.XLOOKUP(TablaGastos[[#This Row],[Semana]],Pivots!$U$2:$U$30,Pivots!$Y$2:$Y$30)</f>
        <v>4-Feb</v>
      </c>
    </row>
    <row r="188" spans="1:8" x14ac:dyDescent="0.3">
      <c r="A188">
        <v>14</v>
      </c>
      <c r="B188" t="s">
        <v>359</v>
      </c>
      <c r="C188" t="s">
        <v>30</v>
      </c>
      <c r="D188" t="s">
        <v>342</v>
      </c>
      <c r="E188" s="61">
        <v>98000</v>
      </c>
      <c r="F188" s="61">
        <v>12500</v>
      </c>
      <c r="G188" s="56" t="str">
        <f>TEXT(TablaGastos[[#This Row],[Orden]],"00")&amp;" "&amp;TablaGastos[[#This Row],[Semana]]</f>
        <v>14 09 14 Feb</v>
      </c>
      <c r="H188" s="56" t="str">
        <f>_xlfn.XLOOKUP(TablaGastos[[#This Row],[Semana]],Pivots!$U$2:$U$30,Pivots!$Y$2:$Y$30)</f>
        <v>4-Feb</v>
      </c>
    </row>
    <row r="189" spans="1:8" x14ac:dyDescent="0.3">
      <c r="A189">
        <v>14</v>
      </c>
      <c r="B189" t="s">
        <v>359</v>
      </c>
      <c r="C189" t="s">
        <v>41</v>
      </c>
      <c r="D189" t="s">
        <v>342</v>
      </c>
      <c r="E189" s="61">
        <v>9950</v>
      </c>
      <c r="F189" s="61">
        <v>0</v>
      </c>
      <c r="G189" s="56" t="str">
        <f>TEXT(TablaGastos[[#This Row],[Orden]],"00")&amp;" "&amp;TablaGastos[[#This Row],[Semana]]</f>
        <v>14 09 14 Feb</v>
      </c>
      <c r="H189" s="56" t="str">
        <f>_xlfn.XLOOKUP(TablaGastos[[#This Row],[Semana]],Pivots!$U$2:$U$30,Pivots!$Y$2:$Y$30)</f>
        <v>4-Feb</v>
      </c>
    </row>
    <row r="190" spans="1:8" x14ac:dyDescent="0.3">
      <c r="A190">
        <v>14</v>
      </c>
      <c r="B190" t="s">
        <v>359</v>
      </c>
      <c r="C190" t="s">
        <v>2</v>
      </c>
      <c r="D190" t="s">
        <v>342</v>
      </c>
      <c r="E190" s="61">
        <v>27783.47</v>
      </c>
      <c r="F190" s="61">
        <v>0</v>
      </c>
      <c r="G190" s="56" t="str">
        <f>TEXT(TablaGastos[[#This Row],[Orden]],"00")&amp;" "&amp;TablaGastos[[#This Row],[Semana]]</f>
        <v>14 09 14 Feb</v>
      </c>
      <c r="H190" s="56" t="str">
        <f>_xlfn.XLOOKUP(TablaGastos[[#This Row],[Semana]],Pivots!$U$2:$U$30,Pivots!$Y$2:$Y$30)</f>
        <v>4-Feb</v>
      </c>
    </row>
    <row r="191" spans="1:8" x14ac:dyDescent="0.3">
      <c r="A191">
        <v>14</v>
      </c>
      <c r="B191" t="s">
        <v>359</v>
      </c>
      <c r="C191" t="s">
        <v>2</v>
      </c>
      <c r="D191" t="s">
        <v>342</v>
      </c>
      <c r="E191" s="61">
        <v>0</v>
      </c>
      <c r="F191" s="61">
        <v>19105</v>
      </c>
      <c r="G191" s="56" t="str">
        <f>TEXT(TablaGastos[[#This Row],[Orden]],"00")&amp;" "&amp;TablaGastos[[#This Row],[Semana]]</f>
        <v>14 09 14 Feb</v>
      </c>
      <c r="H191" s="56" t="str">
        <f>_xlfn.XLOOKUP(TablaGastos[[#This Row],[Semana]],Pivots!$U$2:$U$30,Pivots!$Y$2:$Y$30)</f>
        <v>4-Feb</v>
      </c>
    </row>
    <row r="192" spans="1:8" x14ac:dyDescent="0.3">
      <c r="A192">
        <v>14</v>
      </c>
      <c r="B192" t="s">
        <v>359</v>
      </c>
      <c r="C192" t="s">
        <v>73</v>
      </c>
      <c r="D192" t="s">
        <v>422</v>
      </c>
      <c r="E192" s="61">
        <v>3940.45</v>
      </c>
      <c r="F192" s="61">
        <v>0</v>
      </c>
      <c r="G192" s="56" t="str">
        <f>TEXT(TablaGastos[[#This Row],[Orden]],"00")&amp;" "&amp;TablaGastos[[#This Row],[Semana]]</f>
        <v>14 09 14 Feb</v>
      </c>
      <c r="H192" s="56" t="str">
        <f>_xlfn.XLOOKUP(TablaGastos[[#This Row],[Semana]],Pivots!$U$2:$U$30,Pivots!$Y$2:$Y$30)</f>
        <v>4-Feb</v>
      </c>
    </row>
    <row r="193" spans="1:8" x14ac:dyDescent="0.3">
      <c r="A193">
        <v>14</v>
      </c>
      <c r="B193" t="s">
        <v>359</v>
      </c>
      <c r="C193" t="s">
        <v>37</v>
      </c>
      <c r="D193" t="s">
        <v>342</v>
      </c>
      <c r="E193" s="61">
        <v>0</v>
      </c>
      <c r="F193" s="61">
        <v>19999.8</v>
      </c>
      <c r="G193" s="56" t="str">
        <f>TEXT(TablaGastos[[#This Row],[Orden]],"00")&amp;" "&amp;TablaGastos[[#This Row],[Semana]]</f>
        <v>14 09 14 Feb</v>
      </c>
      <c r="H193" s="56" t="str">
        <f>_xlfn.XLOOKUP(TablaGastos[[#This Row],[Semana]],Pivots!$U$2:$U$30,Pivots!$Y$2:$Y$30)</f>
        <v>4-Feb</v>
      </c>
    </row>
    <row r="194" spans="1:8" x14ac:dyDescent="0.3">
      <c r="A194">
        <v>14</v>
      </c>
      <c r="B194" t="s">
        <v>359</v>
      </c>
      <c r="C194" t="s">
        <v>102</v>
      </c>
      <c r="D194" t="s">
        <v>342</v>
      </c>
      <c r="E194" s="61">
        <v>0</v>
      </c>
      <c r="F194" s="61">
        <v>8526</v>
      </c>
      <c r="G194" s="56" t="str">
        <f>TEXT(TablaGastos[[#This Row],[Orden]],"00")&amp;" "&amp;TablaGastos[[#This Row],[Semana]]</f>
        <v>14 09 14 Feb</v>
      </c>
      <c r="H194" s="56" t="str">
        <f>_xlfn.XLOOKUP(TablaGastos[[#This Row],[Semana]],Pivots!$U$2:$U$30,Pivots!$Y$2:$Y$30)</f>
        <v>4-Feb</v>
      </c>
    </row>
    <row r="195" spans="1:8" x14ac:dyDescent="0.3">
      <c r="A195">
        <v>14</v>
      </c>
      <c r="B195" t="s">
        <v>359</v>
      </c>
      <c r="C195" t="s">
        <v>49</v>
      </c>
      <c r="D195" t="s">
        <v>342</v>
      </c>
      <c r="E195" s="61">
        <v>0</v>
      </c>
      <c r="F195" s="61">
        <v>49247.8</v>
      </c>
      <c r="G195" s="56" t="str">
        <f>TEXT(TablaGastos[[#This Row],[Orden]],"00")&amp;" "&amp;TablaGastos[[#This Row],[Semana]]</f>
        <v>14 09 14 Feb</v>
      </c>
      <c r="H195" s="56" t="str">
        <f>_xlfn.XLOOKUP(TablaGastos[[#This Row],[Semana]],Pivots!$U$2:$U$30,Pivots!$Y$2:$Y$30)</f>
        <v>4-Feb</v>
      </c>
    </row>
    <row r="196" spans="1:8" x14ac:dyDescent="0.3">
      <c r="A196">
        <v>14</v>
      </c>
      <c r="B196" t="s">
        <v>359</v>
      </c>
      <c r="C196" t="s">
        <v>53</v>
      </c>
      <c r="D196" t="s">
        <v>422</v>
      </c>
      <c r="E196" s="61">
        <v>0</v>
      </c>
      <c r="F196" s="61">
        <v>35178</v>
      </c>
      <c r="G196" s="56" t="str">
        <f>TEXT(TablaGastos[[#This Row],[Orden]],"00")&amp;" "&amp;TablaGastos[[#This Row],[Semana]]</f>
        <v>14 09 14 Feb</v>
      </c>
      <c r="H196" s="56" t="str">
        <f>_xlfn.XLOOKUP(TablaGastos[[#This Row],[Semana]],Pivots!$U$2:$U$30,Pivots!$Y$2:$Y$30)</f>
        <v>4-Feb</v>
      </c>
    </row>
    <row r="197" spans="1:8" x14ac:dyDescent="0.3">
      <c r="A197">
        <v>14</v>
      </c>
      <c r="B197" t="s">
        <v>359</v>
      </c>
      <c r="C197" t="s">
        <v>107</v>
      </c>
      <c r="D197" t="s">
        <v>421</v>
      </c>
      <c r="E197" s="61">
        <v>3920</v>
      </c>
      <c r="F197" s="61">
        <v>0</v>
      </c>
      <c r="G197" s="56" t="str">
        <f>TEXT(TablaGastos[[#This Row],[Orden]],"00")&amp;" "&amp;TablaGastos[[#This Row],[Semana]]</f>
        <v>14 09 14 Feb</v>
      </c>
      <c r="H197" s="56" t="str">
        <f>_xlfn.XLOOKUP(TablaGastos[[#This Row],[Semana]],Pivots!$U$2:$U$30,Pivots!$Y$2:$Y$30)</f>
        <v>4-Feb</v>
      </c>
    </row>
    <row r="198" spans="1:8" x14ac:dyDescent="0.3">
      <c r="A198">
        <v>14</v>
      </c>
      <c r="B198" t="s">
        <v>359</v>
      </c>
      <c r="C198" t="s">
        <v>55</v>
      </c>
      <c r="D198" t="s">
        <v>342</v>
      </c>
      <c r="E198" s="61">
        <v>28500</v>
      </c>
      <c r="F198" s="61">
        <v>0</v>
      </c>
      <c r="G198" s="56" t="str">
        <f>TEXT(TablaGastos[[#This Row],[Orden]],"00")&amp;" "&amp;TablaGastos[[#This Row],[Semana]]</f>
        <v>14 09 14 Feb</v>
      </c>
      <c r="H198" s="56" t="str">
        <f>_xlfn.XLOOKUP(TablaGastos[[#This Row],[Semana]],Pivots!$U$2:$U$30,Pivots!$Y$2:$Y$30)</f>
        <v>4-Feb</v>
      </c>
    </row>
    <row r="199" spans="1:8" x14ac:dyDescent="0.3">
      <c r="A199">
        <v>14</v>
      </c>
      <c r="B199" t="s">
        <v>359</v>
      </c>
      <c r="C199" t="s">
        <v>175</v>
      </c>
      <c r="D199" t="s">
        <v>422</v>
      </c>
      <c r="E199" s="61">
        <v>2728.32</v>
      </c>
      <c r="F199" s="61">
        <v>0</v>
      </c>
      <c r="G199" s="56" t="str">
        <f>TEXT(TablaGastos[[#This Row],[Orden]],"00")&amp;" "&amp;TablaGastos[[#This Row],[Semana]]</f>
        <v>14 09 14 Feb</v>
      </c>
      <c r="H199" s="56" t="str">
        <f>_xlfn.XLOOKUP(TablaGastos[[#This Row],[Semana]],Pivots!$U$2:$U$30,Pivots!$Y$2:$Y$30)</f>
        <v>4-Feb</v>
      </c>
    </row>
    <row r="200" spans="1:8" x14ac:dyDescent="0.3">
      <c r="A200">
        <v>14</v>
      </c>
      <c r="B200" t="s">
        <v>359</v>
      </c>
      <c r="C200" t="s">
        <v>170</v>
      </c>
      <c r="D200" t="s">
        <v>422</v>
      </c>
      <c r="E200" s="61">
        <v>33328.910000000003</v>
      </c>
      <c r="F200" s="61">
        <v>9280</v>
      </c>
      <c r="G200" s="56" t="str">
        <f>TEXT(TablaGastos[[#This Row],[Orden]],"00")&amp;" "&amp;TablaGastos[[#This Row],[Semana]]</f>
        <v>14 09 14 Feb</v>
      </c>
      <c r="H200" s="56" t="str">
        <f>_xlfn.XLOOKUP(TablaGastos[[#This Row],[Semana]],Pivots!$U$2:$U$30,Pivots!$Y$2:$Y$30)</f>
        <v>4-Feb</v>
      </c>
    </row>
    <row r="201" spans="1:8" x14ac:dyDescent="0.3">
      <c r="A201">
        <v>14</v>
      </c>
      <c r="B201" t="s">
        <v>359</v>
      </c>
      <c r="C201" t="s">
        <v>1</v>
      </c>
      <c r="D201" t="s">
        <v>347</v>
      </c>
      <c r="E201" s="61">
        <v>0</v>
      </c>
      <c r="F201" s="61">
        <v>30000</v>
      </c>
      <c r="G201" s="56" t="str">
        <f>TEXT(TablaGastos[[#This Row],[Orden]],"00")&amp;" "&amp;TablaGastos[[#This Row],[Semana]]</f>
        <v>14 09 14 Feb</v>
      </c>
      <c r="H201" s="56" t="str">
        <f>_xlfn.XLOOKUP(TablaGastos[[#This Row],[Semana]],Pivots!$U$2:$U$30,Pivots!$Y$2:$Y$30)</f>
        <v>4-Feb</v>
      </c>
    </row>
    <row r="202" spans="1:8" x14ac:dyDescent="0.3">
      <c r="A202">
        <v>14</v>
      </c>
      <c r="B202" t="s">
        <v>359</v>
      </c>
      <c r="C202" t="s">
        <v>150</v>
      </c>
      <c r="D202" t="s">
        <v>355</v>
      </c>
      <c r="E202" s="61">
        <v>0</v>
      </c>
      <c r="F202" s="61">
        <v>47000</v>
      </c>
      <c r="G202" s="56" t="str">
        <f>TEXT(TablaGastos[[#This Row],[Orden]],"00")&amp;" "&amp;TablaGastos[[#This Row],[Semana]]</f>
        <v>14 09 14 Feb</v>
      </c>
      <c r="H202" s="56" t="str">
        <f>_xlfn.XLOOKUP(TablaGastos[[#This Row],[Semana]],Pivots!$U$2:$U$30,Pivots!$Y$2:$Y$30)</f>
        <v>4-Feb</v>
      </c>
    </row>
    <row r="203" spans="1:8" x14ac:dyDescent="0.3">
      <c r="A203">
        <v>14</v>
      </c>
      <c r="B203" t="s">
        <v>359</v>
      </c>
      <c r="C203" t="s">
        <v>160</v>
      </c>
      <c r="D203" t="s">
        <v>422</v>
      </c>
      <c r="E203" s="61">
        <v>0</v>
      </c>
      <c r="F203" s="61">
        <v>5800</v>
      </c>
      <c r="G203" s="56" t="str">
        <f>TEXT(TablaGastos[[#This Row],[Orden]],"00")&amp;" "&amp;TablaGastos[[#This Row],[Semana]]</f>
        <v>14 09 14 Feb</v>
      </c>
      <c r="H203" s="56" t="str">
        <f>_xlfn.XLOOKUP(TablaGastos[[#This Row],[Semana]],Pivots!$U$2:$U$30,Pivots!$Y$2:$Y$30)</f>
        <v>4-Feb</v>
      </c>
    </row>
    <row r="204" spans="1:8" x14ac:dyDescent="0.3">
      <c r="A204">
        <v>14</v>
      </c>
      <c r="B204" t="s">
        <v>359</v>
      </c>
      <c r="C204" t="s">
        <v>176</v>
      </c>
      <c r="D204" t="s">
        <v>344</v>
      </c>
      <c r="E204" s="61">
        <v>2400</v>
      </c>
      <c r="F204" s="61">
        <v>0</v>
      </c>
      <c r="G204" s="56" t="str">
        <f>TEXT(TablaGastos[[#This Row],[Orden]],"00")&amp;" "&amp;TablaGastos[[#This Row],[Semana]]</f>
        <v>14 09 14 Feb</v>
      </c>
      <c r="H204" s="56" t="str">
        <f>_xlfn.XLOOKUP(TablaGastos[[#This Row],[Semana]],Pivots!$U$2:$U$30,Pivots!$Y$2:$Y$30)</f>
        <v>4-Feb</v>
      </c>
    </row>
    <row r="205" spans="1:8" x14ac:dyDescent="0.3">
      <c r="A205">
        <v>14</v>
      </c>
      <c r="B205" t="s">
        <v>359</v>
      </c>
      <c r="C205" t="s">
        <v>177</v>
      </c>
      <c r="D205" t="s">
        <v>344</v>
      </c>
      <c r="E205" s="61">
        <v>0</v>
      </c>
      <c r="F205" s="61">
        <v>2028.84</v>
      </c>
      <c r="G205" s="56" t="str">
        <f>TEXT(TablaGastos[[#This Row],[Orden]],"00")&amp;" "&amp;TablaGastos[[#This Row],[Semana]]</f>
        <v>14 09 14 Feb</v>
      </c>
      <c r="H205" s="56" t="str">
        <f>_xlfn.XLOOKUP(TablaGastos[[#This Row],[Semana]],Pivots!$U$2:$U$30,Pivots!$Y$2:$Y$30)</f>
        <v>4-Feb</v>
      </c>
    </row>
    <row r="206" spans="1:8" x14ac:dyDescent="0.3">
      <c r="A206">
        <v>15</v>
      </c>
      <c r="B206" t="s">
        <v>360</v>
      </c>
      <c r="C206" t="s">
        <v>30</v>
      </c>
      <c r="D206" t="s">
        <v>342</v>
      </c>
      <c r="E206" s="61">
        <v>110000</v>
      </c>
      <c r="F206" s="61">
        <v>110000</v>
      </c>
      <c r="G206" s="56" t="str">
        <f>TEXT(TablaGastos[[#This Row],[Orden]],"00")&amp;" "&amp;TablaGastos[[#This Row],[Semana]]</f>
        <v>15 16 21 Feb</v>
      </c>
      <c r="H206" s="56" t="str">
        <f>_xlfn.XLOOKUP(TablaGastos[[#This Row],[Semana]],Pivots!$U$2:$U$30,Pivots!$Y$2:$Y$30)</f>
        <v>4-Feb</v>
      </c>
    </row>
    <row r="207" spans="1:8" x14ac:dyDescent="0.3">
      <c r="A207">
        <v>15</v>
      </c>
      <c r="B207" t="s">
        <v>360</v>
      </c>
      <c r="C207" t="s">
        <v>41</v>
      </c>
      <c r="D207" t="s">
        <v>342</v>
      </c>
      <c r="E207" s="61">
        <v>18750</v>
      </c>
      <c r="F207" s="61">
        <v>20000</v>
      </c>
      <c r="G207" s="56" t="str">
        <f>TEXT(TablaGastos[[#This Row],[Orden]],"00")&amp;" "&amp;TablaGastos[[#This Row],[Semana]]</f>
        <v>15 16 21 Feb</v>
      </c>
      <c r="H207" s="56" t="str">
        <f>_xlfn.XLOOKUP(TablaGastos[[#This Row],[Semana]],Pivots!$U$2:$U$30,Pivots!$Y$2:$Y$30)</f>
        <v>4-Feb</v>
      </c>
    </row>
    <row r="208" spans="1:8" x14ac:dyDescent="0.3">
      <c r="A208">
        <v>15</v>
      </c>
      <c r="B208" t="s">
        <v>360</v>
      </c>
      <c r="C208" t="s">
        <v>2</v>
      </c>
      <c r="D208" t="s">
        <v>342</v>
      </c>
      <c r="E208" s="61">
        <v>0</v>
      </c>
      <c r="F208" s="61">
        <v>30000</v>
      </c>
      <c r="G208" s="56" t="str">
        <f>TEXT(TablaGastos[[#This Row],[Orden]],"00")&amp;" "&amp;TablaGastos[[#This Row],[Semana]]</f>
        <v>15 16 21 Feb</v>
      </c>
      <c r="H208" s="56" t="str">
        <f>_xlfn.XLOOKUP(TablaGastos[[#This Row],[Semana]],Pivots!$U$2:$U$30,Pivots!$Y$2:$Y$30)</f>
        <v>4-Feb</v>
      </c>
    </row>
    <row r="209" spans="1:8" x14ac:dyDescent="0.3">
      <c r="A209">
        <v>15</v>
      </c>
      <c r="B209" t="s">
        <v>360</v>
      </c>
      <c r="C209" t="s">
        <v>73</v>
      </c>
      <c r="D209" t="s">
        <v>422</v>
      </c>
      <c r="E209" s="61">
        <v>5916</v>
      </c>
      <c r="F209" s="61">
        <v>0</v>
      </c>
      <c r="G209" s="56" t="str">
        <f>TEXT(TablaGastos[[#This Row],[Orden]],"00")&amp;" "&amp;TablaGastos[[#This Row],[Semana]]</f>
        <v>15 16 21 Feb</v>
      </c>
      <c r="H209" s="56" t="str">
        <f>_xlfn.XLOOKUP(TablaGastos[[#This Row],[Semana]],Pivots!$U$2:$U$30,Pivots!$Y$2:$Y$30)</f>
        <v>4-Feb</v>
      </c>
    </row>
    <row r="210" spans="1:8" x14ac:dyDescent="0.3">
      <c r="A210">
        <v>15</v>
      </c>
      <c r="B210" t="s">
        <v>360</v>
      </c>
      <c r="C210" t="s">
        <v>37</v>
      </c>
      <c r="D210" t="s">
        <v>342</v>
      </c>
      <c r="E210" s="61">
        <v>19999.8</v>
      </c>
      <c r="F210" s="61">
        <v>10000</v>
      </c>
      <c r="G210" s="56" t="str">
        <f>TEXT(TablaGastos[[#This Row],[Orden]],"00")&amp;" "&amp;TablaGastos[[#This Row],[Semana]]</f>
        <v>15 16 21 Feb</v>
      </c>
      <c r="H210" s="56" t="str">
        <f>_xlfn.XLOOKUP(TablaGastos[[#This Row],[Semana]],Pivots!$U$2:$U$30,Pivots!$Y$2:$Y$30)</f>
        <v>4-Feb</v>
      </c>
    </row>
    <row r="211" spans="1:8" x14ac:dyDescent="0.3">
      <c r="A211">
        <v>15</v>
      </c>
      <c r="B211" t="s">
        <v>360</v>
      </c>
      <c r="C211" t="s">
        <v>102</v>
      </c>
      <c r="D211" t="s">
        <v>342</v>
      </c>
      <c r="E211" s="61">
        <v>0</v>
      </c>
      <c r="F211" s="61">
        <v>8526</v>
      </c>
      <c r="G211" s="56" t="str">
        <f>TEXT(TablaGastos[[#This Row],[Orden]],"00")&amp;" "&amp;TablaGastos[[#This Row],[Semana]]</f>
        <v>15 16 21 Feb</v>
      </c>
      <c r="H211" s="56" t="str">
        <f>_xlfn.XLOOKUP(TablaGastos[[#This Row],[Semana]],Pivots!$U$2:$U$30,Pivots!$Y$2:$Y$30)</f>
        <v>4-Feb</v>
      </c>
    </row>
    <row r="212" spans="1:8" x14ac:dyDescent="0.3">
      <c r="A212">
        <v>15</v>
      </c>
      <c r="B212" t="s">
        <v>360</v>
      </c>
      <c r="C212" t="s">
        <v>49</v>
      </c>
      <c r="D212" t="s">
        <v>342</v>
      </c>
      <c r="E212" s="61">
        <v>0</v>
      </c>
      <c r="F212" s="61">
        <v>49247.8</v>
      </c>
      <c r="G212" s="56" t="str">
        <f>TEXT(TablaGastos[[#This Row],[Orden]],"00")&amp;" "&amp;TablaGastos[[#This Row],[Semana]]</f>
        <v>15 16 21 Feb</v>
      </c>
      <c r="H212" s="56" t="str">
        <f>_xlfn.XLOOKUP(TablaGastos[[#This Row],[Semana]],Pivots!$U$2:$U$30,Pivots!$Y$2:$Y$30)</f>
        <v>4-Feb</v>
      </c>
    </row>
    <row r="213" spans="1:8" x14ac:dyDescent="0.3">
      <c r="A213">
        <v>15</v>
      </c>
      <c r="B213" t="s">
        <v>360</v>
      </c>
      <c r="C213" t="s">
        <v>51</v>
      </c>
      <c r="D213" t="s">
        <v>342</v>
      </c>
      <c r="E213" s="61">
        <v>4045.02</v>
      </c>
      <c r="F213" s="61">
        <v>0</v>
      </c>
      <c r="G213" s="56" t="str">
        <f>TEXT(TablaGastos[[#This Row],[Orden]],"00")&amp;" "&amp;TablaGastos[[#This Row],[Semana]]</f>
        <v>15 16 21 Feb</v>
      </c>
      <c r="H213" s="56" t="str">
        <f>_xlfn.XLOOKUP(TablaGastos[[#This Row],[Semana]],Pivots!$U$2:$U$30,Pivots!$Y$2:$Y$30)</f>
        <v>4-Feb</v>
      </c>
    </row>
    <row r="214" spans="1:8" x14ac:dyDescent="0.3">
      <c r="A214">
        <v>15</v>
      </c>
      <c r="B214" t="s">
        <v>360</v>
      </c>
      <c r="C214" t="s">
        <v>181</v>
      </c>
      <c r="D214" t="s">
        <v>344</v>
      </c>
      <c r="E214" s="61">
        <v>20000</v>
      </c>
      <c r="F214" s="61">
        <v>0</v>
      </c>
      <c r="G214" s="56" t="str">
        <f>TEXT(TablaGastos[[#This Row],[Orden]],"00")&amp;" "&amp;TablaGastos[[#This Row],[Semana]]</f>
        <v>15 16 21 Feb</v>
      </c>
      <c r="H214" s="56" t="str">
        <f>_xlfn.XLOOKUP(TablaGastos[[#This Row],[Semana]],Pivots!$U$2:$U$30,Pivots!$Y$2:$Y$30)</f>
        <v>4-Feb</v>
      </c>
    </row>
    <row r="215" spans="1:8" x14ac:dyDescent="0.3">
      <c r="A215">
        <v>15</v>
      </c>
      <c r="B215" t="s">
        <v>360</v>
      </c>
      <c r="C215" t="s">
        <v>107</v>
      </c>
      <c r="D215" t="s">
        <v>421</v>
      </c>
      <c r="E215" s="61">
        <v>1575</v>
      </c>
      <c r="F215" s="61">
        <v>0</v>
      </c>
      <c r="G215" s="56" t="str">
        <f>TEXT(TablaGastos[[#This Row],[Orden]],"00")&amp;" "&amp;TablaGastos[[#This Row],[Semana]]</f>
        <v>15 16 21 Feb</v>
      </c>
      <c r="H215" s="56" t="str">
        <f>_xlfn.XLOOKUP(TablaGastos[[#This Row],[Semana]],Pivots!$U$2:$U$30,Pivots!$Y$2:$Y$30)</f>
        <v>4-Feb</v>
      </c>
    </row>
    <row r="216" spans="1:8" x14ac:dyDescent="0.3">
      <c r="A216">
        <v>15</v>
      </c>
      <c r="B216" t="s">
        <v>360</v>
      </c>
      <c r="C216" t="s">
        <v>170</v>
      </c>
      <c r="D216" t="s">
        <v>422</v>
      </c>
      <c r="E216" s="61">
        <v>0</v>
      </c>
      <c r="F216" s="61">
        <v>42000</v>
      </c>
      <c r="G216" s="56" t="str">
        <f>TEXT(TablaGastos[[#This Row],[Orden]],"00")&amp;" "&amp;TablaGastos[[#This Row],[Semana]]</f>
        <v>15 16 21 Feb</v>
      </c>
      <c r="H216" s="56" t="str">
        <f>_xlfn.XLOOKUP(TablaGastos[[#This Row],[Semana]],Pivots!$U$2:$U$30,Pivots!$Y$2:$Y$30)</f>
        <v>4-Feb</v>
      </c>
    </row>
    <row r="217" spans="1:8" x14ac:dyDescent="0.3">
      <c r="A217">
        <v>15</v>
      </c>
      <c r="B217" t="s">
        <v>360</v>
      </c>
      <c r="C217" t="s">
        <v>1</v>
      </c>
      <c r="D217" t="s">
        <v>347</v>
      </c>
      <c r="E217" s="61">
        <v>0</v>
      </c>
      <c r="F217" s="61">
        <v>45000</v>
      </c>
      <c r="G217" s="56" t="str">
        <f>TEXT(TablaGastos[[#This Row],[Orden]],"00")&amp;" "&amp;TablaGastos[[#This Row],[Semana]]</f>
        <v>15 16 21 Feb</v>
      </c>
      <c r="H217" s="56" t="str">
        <f>_xlfn.XLOOKUP(TablaGastos[[#This Row],[Semana]],Pivots!$U$2:$U$30,Pivots!$Y$2:$Y$30)</f>
        <v>4-Feb</v>
      </c>
    </row>
    <row r="218" spans="1:8" x14ac:dyDescent="0.3">
      <c r="A218">
        <v>15</v>
      </c>
      <c r="B218" t="s">
        <v>360</v>
      </c>
      <c r="C218" t="s">
        <v>150</v>
      </c>
      <c r="D218" t="s">
        <v>355</v>
      </c>
      <c r="E218" s="61">
        <v>0</v>
      </c>
      <c r="F218" s="61">
        <v>47000</v>
      </c>
      <c r="G218" s="56" t="str">
        <f>TEXT(TablaGastos[[#This Row],[Orden]],"00")&amp;" "&amp;TablaGastos[[#This Row],[Semana]]</f>
        <v>15 16 21 Feb</v>
      </c>
      <c r="H218" s="56" t="str">
        <f>_xlfn.XLOOKUP(TablaGastos[[#This Row],[Semana]],Pivots!$U$2:$U$30,Pivots!$Y$2:$Y$30)</f>
        <v>4-Feb</v>
      </c>
    </row>
    <row r="219" spans="1:8" x14ac:dyDescent="0.3">
      <c r="A219">
        <v>15</v>
      </c>
      <c r="B219" t="s">
        <v>360</v>
      </c>
      <c r="C219" t="s">
        <v>160</v>
      </c>
      <c r="D219" t="s">
        <v>422</v>
      </c>
      <c r="E219" s="61">
        <v>7250</v>
      </c>
      <c r="F219" s="61">
        <v>0</v>
      </c>
      <c r="G219" s="56" t="str">
        <f>TEXT(TablaGastos[[#This Row],[Orden]],"00")&amp;" "&amp;TablaGastos[[#This Row],[Semana]]</f>
        <v>15 16 21 Feb</v>
      </c>
      <c r="H219" s="56" t="str">
        <f>_xlfn.XLOOKUP(TablaGastos[[#This Row],[Semana]],Pivots!$U$2:$U$30,Pivots!$Y$2:$Y$30)</f>
        <v>4-Feb</v>
      </c>
    </row>
    <row r="220" spans="1:8" x14ac:dyDescent="0.3">
      <c r="A220">
        <v>15</v>
      </c>
      <c r="B220" t="s">
        <v>360</v>
      </c>
      <c r="C220" t="s">
        <v>161</v>
      </c>
      <c r="D220" t="s">
        <v>422</v>
      </c>
      <c r="E220" s="61">
        <v>9802</v>
      </c>
      <c r="F220" s="61">
        <v>0</v>
      </c>
      <c r="G220" s="56" t="str">
        <f>TEXT(TablaGastos[[#This Row],[Orden]],"00")&amp;" "&amp;TablaGastos[[#This Row],[Semana]]</f>
        <v>15 16 21 Feb</v>
      </c>
      <c r="H220" s="56" t="str">
        <f>_xlfn.XLOOKUP(TablaGastos[[#This Row],[Semana]],Pivots!$U$2:$U$30,Pivots!$Y$2:$Y$30)</f>
        <v>4-Feb</v>
      </c>
    </row>
    <row r="221" spans="1:8" x14ac:dyDescent="0.3">
      <c r="A221">
        <v>15</v>
      </c>
      <c r="B221" t="s">
        <v>360</v>
      </c>
      <c r="C221" t="s">
        <v>182</v>
      </c>
      <c r="D221" t="s">
        <v>344</v>
      </c>
      <c r="E221" s="61">
        <v>0</v>
      </c>
      <c r="F221" s="61">
        <v>15000</v>
      </c>
      <c r="G221" s="56" t="str">
        <f>TEXT(TablaGastos[[#This Row],[Orden]],"00")&amp;" "&amp;TablaGastos[[#This Row],[Semana]]</f>
        <v>15 16 21 Feb</v>
      </c>
      <c r="H221" s="56" t="str">
        <f>_xlfn.XLOOKUP(TablaGastos[[#This Row],[Semana]],Pivots!$U$2:$U$30,Pivots!$Y$2:$Y$30)</f>
        <v>4-Feb</v>
      </c>
    </row>
    <row r="222" spans="1:8" x14ac:dyDescent="0.3">
      <c r="A222">
        <v>15</v>
      </c>
      <c r="B222" t="s">
        <v>360</v>
      </c>
      <c r="C222" t="s">
        <v>183</v>
      </c>
      <c r="D222" t="s">
        <v>344</v>
      </c>
      <c r="E222" s="61">
        <v>8000</v>
      </c>
      <c r="F222" s="61">
        <v>0</v>
      </c>
      <c r="G222" s="56" t="str">
        <f>TEXT(TablaGastos[[#This Row],[Orden]],"00")&amp;" "&amp;TablaGastos[[#This Row],[Semana]]</f>
        <v>15 16 21 Feb</v>
      </c>
      <c r="H222" s="56" t="str">
        <f>_xlfn.XLOOKUP(TablaGastos[[#This Row],[Semana]],Pivots!$U$2:$U$30,Pivots!$Y$2:$Y$30)</f>
        <v>4-Feb</v>
      </c>
    </row>
    <row r="223" spans="1:8" x14ac:dyDescent="0.3">
      <c r="A223">
        <v>16</v>
      </c>
      <c r="B223" t="s">
        <v>361</v>
      </c>
      <c r="C223" t="s">
        <v>30</v>
      </c>
      <c r="D223" t="s">
        <v>342</v>
      </c>
      <c r="E223" s="61">
        <v>100000</v>
      </c>
      <c r="F223" s="61">
        <v>0</v>
      </c>
      <c r="G223" s="56" t="str">
        <f>TEXT(TablaGastos[[#This Row],[Orden]],"00")&amp;" "&amp;TablaGastos[[#This Row],[Semana]]</f>
        <v>16 23 28 Feb</v>
      </c>
      <c r="H223" s="56" t="str">
        <f>_xlfn.XLOOKUP(TablaGastos[[#This Row],[Semana]],Pivots!$U$2:$U$30,Pivots!$Y$2:$Y$30)</f>
        <v>4-Feb</v>
      </c>
    </row>
    <row r="224" spans="1:8" x14ac:dyDescent="0.3">
      <c r="A224">
        <v>16</v>
      </c>
      <c r="B224" t="s">
        <v>361</v>
      </c>
      <c r="C224" t="s">
        <v>41</v>
      </c>
      <c r="D224" t="s">
        <v>342</v>
      </c>
      <c r="E224" s="61">
        <v>21800</v>
      </c>
      <c r="F224" s="61">
        <v>0</v>
      </c>
      <c r="G224" s="56" t="str">
        <f>TEXT(TablaGastos[[#This Row],[Orden]],"00")&amp;" "&amp;TablaGastos[[#This Row],[Semana]]</f>
        <v>16 23 28 Feb</v>
      </c>
      <c r="H224" s="56" t="str">
        <f>_xlfn.XLOOKUP(TablaGastos[[#This Row],[Semana]],Pivots!$U$2:$U$30,Pivots!$Y$2:$Y$30)</f>
        <v>4-Feb</v>
      </c>
    </row>
    <row r="225" spans="1:8" x14ac:dyDescent="0.3">
      <c r="A225">
        <v>16</v>
      </c>
      <c r="B225" t="s">
        <v>361</v>
      </c>
      <c r="C225" t="s">
        <v>2</v>
      </c>
      <c r="D225" t="s">
        <v>342</v>
      </c>
      <c r="E225" s="61">
        <v>30000</v>
      </c>
      <c r="F225" s="61">
        <v>30000</v>
      </c>
      <c r="G225" s="56" t="str">
        <f>TEXT(TablaGastos[[#This Row],[Orden]],"00")&amp;" "&amp;TablaGastos[[#This Row],[Semana]]</f>
        <v>16 23 28 Feb</v>
      </c>
      <c r="H225" s="56" t="str">
        <f>_xlfn.XLOOKUP(TablaGastos[[#This Row],[Semana]],Pivots!$U$2:$U$30,Pivots!$Y$2:$Y$30)</f>
        <v>4-Feb</v>
      </c>
    </row>
    <row r="226" spans="1:8" x14ac:dyDescent="0.3">
      <c r="A226">
        <v>16</v>
      </c>
      <c r="B226" t="s">
        <v>361</v>
      </c>
      <c r="C226" t="s">
        <v>37</v>
      </c>
      <c r="D226" t="s">
        <v>342</v>
      </c>
      <c r="E226" s="61">
        <v>10000</v>
      </c>
      <c r="F226" s="61">
        <v>10000</v>
      </c>
      <c r="G226" s="56" t="str">
        <f>TEXT(TablaGastos[[#This Row],[Orden]],"00")&amp;" "&amp;TablaGastos[[#This Row],[Semana]]</f>
        <v>16 23 28 Feb</v>
      </c>
      <c r="H226" s="56" t="str">
        <f>_xlfn.XLOOKUP(TablaGastos[[#This Row],[Semana]],Pivots!$U$2:$U$30,Pivots!$Y$2:$Y$30)</f>
        <v>4-Feb</v>
      </c>
    </row>
    <row r="227" spans="1:8" x14ac:dyDescent="0.3">
      <c r="A227">
        <v>16</v>
      </c>
      <c r="B227" t="s">
        <v>361</v>
      </c>
      <c r="C227" t="s">
        <v>51</v>
      </c>
      <c r="D227" t="s">
        <v>342</v>
      </c>
      <c r="E227" s="61">
        <v>10000</v>
      </c>
      <c r="F227" s="61">
        <v>0</v>
      </c>
      <c r="G227" s="56" t="str">
        <f>TEXT(TablaGastos[[#This Row],[Orden]],"00")&amp;" "&amp;TablaGastos[[#This Row],[Semana]]</f>
        <v>16 23 28 Feb</v>
      </c>
      <c r="H227" s="56" t="str">
        <f>_xlfn.XLOOKUP(TablaGastos[[#This Row],[Semana]],Pivots!$U$2:$U$30,Pivots!$Y$2:$Y$30)</f>
        <v>4-Feb</v>
      </c>
    </row>
    <row r="228" spans="1:8" x14ac:dyDescent="0.3">
      <c r="A228">
        <v>16</v>
      </c>
      <c r="B228" t="s">
        <v>361</v>
      </c>
      <c r="C228" t="s">
        <v>107</v>
      </c>
      <c r="D228" t="s">
        <v>421</v>
      </c>
      <c r="E228" s="61">
        <v>5115.6000000000004</v>
      </c>
      <c r="F228" s="61">
        <v>0</v>
      </c>
      <c r="G228" s="56" t="str">
        <f>TEXT(TablaGastos[[#This Row],[Orden]],"00")&amp;" "&amp;TablaGastos[[#This Row],[Semana]]</f>
        <v>16 23 28 Feb</v>
      </c>
      <c r="H228" s="56" t="str">
        <f>_xlfn.XLOOKUP(TablaGastos[[#This Row],[Semana]],Pivots!$U$2:$U$30,Pivots!$Y$2:$Y$30)</f>
        <v>4-Feb</v>
      </c>
    </row>
    <row r="229" spans="1:8" x14ac:dyDescent="0.3">
      <c r="A229">
        <v>16</v>
      </c>
      <c r="B229" t="s">
        <v>361</v>
      </c>
      <c r="C229" t="s">
        <v>170</v>
      </c>
      <c r="D229" t="s">
        <v>422</v>
      </c>
      <c r="E229" s="61">
        <v>0</v>
      </c>
      <c r="F229" s="61">
        <v>42000</v>
      </c>
      <c r="G229" s="56" t="str">
        <f>TEXT(TablaGastos[[#This Row],[Orden]],"00")&amp;" "&amp;TablaGastos[[#This Row],[Semana]]</f>
        <v>16 23 28 Feb</v>
      </c>
      <c r="H229" s="56" t="str">
        <f>_xlfn.XLOOKUP(TablaGastos[[#This Row],[Semana]],Pivots!$U$2:$U$30,Pivots!$Y$2:$Y$30)</f>
        <v>4-Feb</v>
      </c>
    </row>
    <row r="230" spans="1:8" x14ac:dyDescent="0.3">
      <c r="A230">
        <v>16</v>
      </c>
      <c r="B230" t="s">
        <v>361</v>
      </c>
      <c r="C230" t="s">
        <v>1</v>
      </c>
      <c r="D230" t="s">
        <v>347</v>
      </c>
      <c r="E230" s="61">
        <v>0</v>
      </c>
      <c r="F230" s="61">
        <v>15000</v>
      </c>
      <c r="G230" s="56" t="str">
        <f>TEXT(TablaGastos[[#This Row],[Orden]],"00")&amp;" "&amp;TablaGastos[[#This Row],[Semana]]</f>
        <v>16 23 28 Feb</v>
      </c>
      <c r="H230" s="56" t="str">
        <f>_xlfn.XLOOKUP(TablaGastos[[#This Row],[Semana]],Pivots!$U$2:$U$30,Pivots!$Y$2:$Y$30)</f>
        <v>4-Feb</v>
      </c>
    </row>
    <row r="231" spans="1:8" x14ac:dyDescent="0.3">
      <c r="A231">
        <v>16</v>
      </c>
      <c r="B231" t="s">
        <v>361</v>
      </c>
      <c r="C231" t="s">
        <v>160</v>
      </c>
      <c r="D231" t="s">
        <v>422</v>
      </c>
      <c r="E231" s="61">
        <v>7250</v>
      </c>
      <c r="F231" s="61">
        <v>0</v>
      </c>
      <c r="G231" s="56" t="str">
        <f>TEXT(TablaGastos[[#This Row],[Orden]],"00")&amp;" "&amp;TablaGastos[[#This Row],[Semana]]</f>
        <v>16 23 28 Feb</v>
      </c>
      <c r="H231" s="56" t="str">
        <f>_xlfn.XLOOKUP(TablaGastos[[#This Row],[Semana]],Pivots!$U$2:$U$30,Pivots!$Y$2:$Y$30)</f>
        <v>4-Feb</v>
      </c>
    </row>
    <row r="232" spans="1:8" x14ac:dyDescent="0.3">
      <c r="A232">
        <v>16</v>
      </c>
      <c r="B232" t="s">
        <v>361</v>
      </c>
      <c r="C232" t="s">
        <v>161</v>
      </c>
      <c r="D232" t="s">
        <v>422</v>
      </c>
      <c r="E232" s="61">
        <v>9802</v>
      </c>
      <c r="F232" s="61">
        <v>0</v>
      </c>
      <c r="G232" s="56" t="str">
        <f>TEXT(TablaGastos[[#This Row],[Orden]],"00")&amp;" "&amp;TablaGastos[[#This Row],[Semana]]</f>
        <v>16 23 28 Feb</v>
      </c>
      <c r="H232" s="56" t="str">
        <f>_xlfn.XLOOKUP(TablaGastos[[#This Row],[Semana]],Pivots!$U$2:$U$30,Pivots!$Y$2:$Y$30)</f>
        <v>4-Feb</v>
      </c>
    </row>
    <row r="233" spans="1:8" x14ac:dyDescent="0.3">
      <c r="A233">
        <v>16</v>
      </c>
      <c r="B233" t="s">
        <v>361</v>
      </c>
      <c r="C233" t="s">
        <v>19</v>
      </c>
      <c r="D233" t="s">
        <v>344</v>
      </c>
      <c r="E233" s="61">
        <v>6500</v>
      </c>
      <c r="F233" s="61">
        <v>6500</v>
      </c>
      <c r="G233" s="56" t="str">
        <f>TEXT(TablaGastos[[#This Row],[Orden]],"00")&amp;" "&amp;TablaGastos[[#This Row],[Semana]]</f>
        <v>16 23 28 Feb</v>
      </c>
      <c r="H233" s="56" t="str">
        <f>_xlfn.XLOOKUP(TablaGastos[[#This Row],[Semana]],Pivots!$U$2:$U$30,Pivots!$Y$2:$Y$30)</f>
        <v>4-Feb</v>
      </c>
    </row>
    <row r="234" spans="1:8" x14ac:dyDescent="0.3">
      <c r="A234">
        <v>17</v>
      </c>
      <c r="B234" t="s">
        <v>362</v>
      </c>
      <c r="C234" t="s">
        <v>30</v>
      </c>
      <c r="D234" t="s">
        <v>342</v>
      </c>
      <c r="E234" s="61">
        <v>110000</v>
      </c>
      <c r="F234" s="61">
        <v>70000</v>
      </c>
      <c r="G234" s="56" t="str">
        <f>TEXT(TablaGastos[[#This Row],[Orden]],"00")&amp;" "&amp;TablaGastos[[#This Row],[Semana]]</f>
        <v>17 02 07 Mar</v>
      </c>
      <c r="H234" s="56" t="str">
        <f>_xlfn.XLOOKUP(TablaGastos[[#This Row],[Semana]],Pivots!$U$2:$U$30,Pivots!$Y$2:$Y$30)</f>
        <v>5-Mar</v>
      </c>
    </row>
    <row r="235" spans="1:8" x14ac:dyDescent="0.3">
      <c r="A235">
        <v>17</v>
      </c>
      <c r="B235" t="s">
        <v>362</v>
      </c>
      <c r="C235" t="s">
        <v>41</v>
      </c>
      <c r="D235" t="s">
        <v>342</v>
      </c>
      <c r="E235" s="61">
        <v>19950</v>
      </c>
      <c r="F235" s="61">
        <v>0</v>
      </c>
      <c r="G235" s="56" t="str">
        <f>TEXT(TablaGastos[[#This Row],[Orden]],"00")&amp;" "&amp;TablaGastos[[#This Row],[Semana]]</f>
        <v>17 02 07 Mar</v>
      </c>
      <c r="H235" s="56" t="str">
        <f>_xlfn.XLOOKUP(TablaGastos[[#This Row],[Semana]],Pivots!$U$2:$U$30,Pivots!$Y$2:$Y$30)</f>
        <v>5-Mar</v>
      </c>
    </row>
    <row r="236" spans="1:8" x14ac:dyDescent="0.3">
      <c r="A236">
        <v>17</v>
      </c>
      <c r="B236" t="s">
        <v>362</v>
      </c>
      <c r="C236" t="s">
        <v>2</v>
      </c>
      <c r="D236" t="s">
        <v>342</v>
      </c>
      <c r="E236" s="61">
        <v>30000</v>
      </c>
      <c r="F236" s="61">
        <v>45000</v>
      </c>
      <c r="G236" s="56" t="str">
        <f>TEXT(TablaGastos[[#This Row],[Orden]],"00")&amp;" "&amp;TablaGastos[[#This Row],[Semana]]</f>
        <v>17 02 07 Mar</v>
      </c>
      <c r="H236" s="56" t="str">
        <f>_xlfn.XLOOKUP(TablaGastos[[#This Row],[Semana]],Pivots!$U$2:$U$30,Pivots!$Y$2:$Y$30)</f>
        <v>5-Mar</v>
      </c>
    </row>
    <row r="237" spans="1:8" x14ac:dyDescent="0.3">
      <c r="A237">
        <v>17</v>
      </c>
      <c r="B237" t="s">
        <v>362</v>
      </c>
      <c r="C237" t="s">
        <v>188</v>
      </c>
      <c r="D237" t="s">
        <v>422</v>
      </c>
      <c r="E237" s="61">
        <v>0</v>
      </c>
      <c r="F237" s="61">
        <v>8961</v>
      </c>
      <c r="G237" s="56" t="str">
        <f>TEXT(TablaGastos[[#This Row],[Orden]],"00")&amp;" "&amp;TablaGastos[[#This Row],[Semana]]</f>
        <v>17 02 07 Mar</v>
      </c>
      <c r="H237" s="56" t="str">
        <f>_xlfn.XLOOKUP(TablaGastos[[#This Row],[Semana]],Pivots!$U$2:$U$30,Pivots!$Y$2:$Y$30)</f>
        <v>5-Mar</v>
      </c>
    </row>
    <row r="238" spans="1:8" x14ac:dyDescent="0.3">
      <c r="A238">
        <v>17</v>
      </c>
      <c r="B238" t="s">
        <v>362</v>
      </c>
      <c r="C238" t="s">
        <v>37</v>
      </c>
      <c r="D238" t="s">
        <v>342</v>
      </c>
      <c r="E238" s="61">
        <v>0</v>
      </c>
      <c r="F238" s="61">
        <v>10000</v>
      </c>
      <c r="G238" s="56" t="str">
        <f>TEXT(TablaGastos[[#This Row],[Orden]],"00")&amp;" "&amp;TablaGastos[[#This Row],[Semana]]</f>
        <v>17 02 07 Mar</v>
      </c>
      <c r="H238" s="56" t="str">
        <f>_xlfn.XLOOKUP(TablaGastos[[#This Row],[Semana]],Pivots!$U$2:$U$30,Pivots!$Y$2:$Y$30)</f>
        <v>5-Mar</v>
      </c>
    </row>
    <row r="239" spans="1:8" x14ac:dyDescent="0.3">
      <c r="A239">
        <v>17</v>
      </c>
      <c r="B239" t="s">
        <v>362</v>
      </c>
      <c r="C239" t="s">
        <v>51</v>
      </c>
      <c r="D239" t="s">
        <v>342</v>
      </c>
      <c r="E239" s="61">
        <v>6811.7</v>
      </c>
      <c r="F239" s="61">
        <v>0</v>
      </c>
      <c r="G239" s="56" t="str">
        <f>TEXT(TablaGastos[[#This Row],[Orden]],"00")&amp;" "&amp;TablaGastos[[#This Row],[Semana]]</f>
        <v>17 02 07 Mar</v>
      </c>
      <c r="H239" s="56" t="str">
        <f>_xlfn.XLOOKUP(TablaGastos[[#This Row],[Semana]],Pivots!$U$2:$U$30,Pivots!$Y$2:$Y$30)</f>
        <v>5-Mar</v>
      </c>
    </row>
    <row r="240" spans="1:8" x14ac:dyDescent="0.3">
      <c r="A240">
        <v>17</v>
      </c>
      <c r="B240" t="s">
        <v>362</v>
      </c>
      <c r="C240" t="s">
        <v>107</v>
      </c>
      <c r="D240" t="s">
        <v>421</v>
      </c>
      <c r="E240" s="61">
        <v>5457.9</v>
      </c>
      <c r="F240" s="61">
        <v>2940</v>
      </c>
      <c r="G240" s="56" t="str">
        <f>TEXT(TablaGastos[[#This Row],[Orden]],"00")&amp;" "&amp;TablaGastos[[#This Row],[Semana]]</f>
        <v>17 02 07 Mar</v>
      </c>
      <c r="H240" s="56" t="str">
        <f>_xlfn.XLOOKUP(TablaGastos[[#This Row],[Semana]],Pivots!$U$2:$U$30,Pivots!$Y$2:$Y$30)</f>
        <v>5-Mar</v>
      </c>
    </row>
    <row r="241" spans="1:8" x14ac:dyDescent="0.3">
      <c r="A241">
        <v>17</v>
      </c>
      <c r="B241" t="s">
        <v>362</v>
      </c>
      <c r="C241" t="s">
        <v>55</v>
      </c>
      <c r="D241" t="s">
        <v>342</v>
      </c>
      <c r="E241" s="61">
        <v>0</v>
      </c>
      <c r="F241" s="61">
        <v>28500</v>
      </c>
      <c r="G241" s="56" t="str">
        <f>TEXT(TablaGastos[[#This Row],[Orden]],"00")&amp;" "&amp;TablaGastos[[#This Row],[Semana]]</f>
        <v>17 02 07 Mar</v>
      </c>
      <c r="H241" s="56" t="str">
        <f>_xlfn.XLOOKUP(TablaGastos[[#This Row],[Semana]],Pivots!$U$2:$U$30,Pivots!$Y$2:$Y$30)</f>
        <v>5-Mar</v>
      </c>
    </row>
    <row r="242" spans="1:8" x14ac:dyDescent="0.3">
      <c r="A242">
        <v>17</v>
      </c>
      <c r="B242" t="s">
        <v>362</v>
      </c>
      <c r="C242" t="s">
        <v>170</v>
      </c>
      <c r="D242" t="s">
        <v>422</v>
      </c>
      <c r="E242" s="61">
        <v>20000</v>
      </c>
      <c r="F242" s="61">
        <v>28477.37</v>
      </c>
      <c r="G242" s="56" t="str">
        <f>TEXT(TablaGastos[[#This Row],[Orden]],"00")&amp;" "&amp;TablaGastos[[#This Row],[Semana]]</f>
        <v>17 02 07 Mar</v>
      </c>
      <c r="H242" s="56" t="str">
        <f>_xlfn.XLOOKUP(TablaGastos[[#This Row],[Semana]],Pivots!$U$2:$U$30,Pivots!$Y$2:$Y$30)</f>
        <v>5-Mar</v>
      </c>
    </row>
    <row r="243" spans="1:8" x14ac:dyDescent="0.3">
      <c r="A243">
        <v>17</v>
      </c>
      <c r="B243" t="s">
        <v>362</v>
      </c>
      <c r="C243" t="s">
        <v>1</v>
      </c>
      <c r="D243" t="s">
        <v>347</v>
      </c>
      <c r="E243" s="61">
        <v>0</v>
      </c>
      <c r="F243" s="61">
        <v>25000</v>
      </c>
      <c r="G243" s="56" t="str">
        <f>TEXT(TablaGastos[[#This Row],[Orden]],"00")&amp;" "&amp;TablaGastos[[#This Row],[Semana]]</f>
        <v>17 02 07 Mar</v>
      </c>
      <c r="H243" s="56" t="str">
        <f>_xlfn.XLOOKUP(TablaGastos[[#This Row],[Semana]],Pivots!$U$2:$U$30,Pivots!$Y$2:$Y$30)</f>
        <v>5-Mar</v>
      </c>
    </row>
    <row r="244" spans="1:8" x14ac:dyDescent="0.3">
      <c r="A244">
        <v>17</v>
      </c>
      <c r="B244" t="s">
        <v>362</v>
      </c>
      <c r="C244" t="s">
        <v>160</v>
      </c>
      <c r="D244" t="s">
        <v>422</v>
      </c>
      <c r="E244" s="61">
        <v>0</v>
      </c>
      <c r="F244" s="61">
        <v>7250</v>
      </c>
      <c r="G244" s="56" t="str">
        <f>TEXT(TablaGastos[[#This Row],[Orden]],"00")&amp;" "&amp;TablaGastos[[#This Row],[Semana]]</f>
        <v>17 02 07 Mar</v>
      </c>
      <c r="H244" s="56" t="str">
        <f>_xlfn.XLOOKUP(TablaGastos[[#This Row],[Semana]],Pivots!$U$2:$U$30,Pivots!$Y$2:$Y$30)</f>
        <v>5-Mar</v>
      </c>
    </row>
    <row r="245" spans="1:8" x14ac:dyDescent="0.3">
      <c r="A245">
        <v>17</v>
      </c>
      <c r="B245" t="s">
        <v>362</v>
      </c>
      <c r="C245" t="s">
        <v>161</v>
      </c>
      <c r="D245" t="s">
        <v>422</v>
      </c>
      <c r="E245" s="61">
        <v>1896.6</v>
      </c>
      <c r="F245" s="61">
        <v>15549.8</v>
      </c>
      <c r="G245" s="56" t="str">
        <f>TEXT(TablaGastos[[#This Row],[Orden]],"00")&amp;" "&amp;TablaGastos[[#This Row],[Semana]]</f>
        <v>17 02 07 Mar</v>
      </c>
      <c r="H245" s="56" t="str">
        <f>_xlfn.XLOOKUP(TablaGastos[[#This Row],[Semana]],Pivots!$U$2:$U$30,Pivots!$Y$2:$Y$30)</f>
        <v>5-Mar</v>
      </c>
    </row>
    <row r="246" spans="1:8" x14ac:dyDescent="0.3">
      <c r="A246">
        <v>17</v>
      </c>
      <c r="B246" t="s">
        <v>362</v>
      </c>
      <c r="C246" t="s">
        <v>190</v>
      </c>
      <c r="D246" t="s">
        <v>344</v>
      </c>
      <c r="E246" s="61">
        <v>8120</v>
      </c>
      <c r="F246" s="61">
        <v>0</v>
      </c>
      <c r="G246" s="56" t="str">
        <f>TEXT(TablaGastos[[#This Row],[Orden]],"00")&amp;" "&amp;TablaGastos[[#This Row],[Semana]]</f>
        <v>17 02 07 Mar</v>
      </c>
      <c r="H246" s="56" t="str">
        <f>_xlfn.XLOOKUP(TablaGastos[[#This Row],[Semana]],Pivots!$U$2:$U$30,Pivots!$Y$2:$Y$30)</f>
        <v>5-Mar</v>
      </c>
    </row>
    <row r="247" spans="1:8" x14ac:dyDescent="0.3">
      <c r="A247">
        <v>17</v>
      </c>
      <c r="B247" t="s">
        <v>362</v>
      </c>
      <c r="C247" t="s">
        <v>363</v>
      </c>
      <c r="D247" t="s">
        <v>422</v>
      </c>
      <c r="E247" s="61">
        <v>2868</v>
      </c>
      <c r="F247" s="61">
        <v>2868</v>
      </c>
      <c r="G247" s="56" t="str">
        <f>TEXT(TablaGastos[[#This Row],[Orden]],"00")&amp;" "&amp;TablaGastos[[#This Row],[Semana]]</f>
        <v>17 02 07 Mar</v>
      </c>
      <c r="H247" s="56" t="str">
        <f>_xlfn.XLOOKUP(TablaGastos[[#This Row],[Semana]],Pivots!$U$2:$U$30,Pivots!$Y$2:$Y$30)</f>
        <v>5-Mar</v>
      </c>
    </row>
    <row r="248" spans="1:8" x14ac:dyDescent="0.3">
      <c r="A248">
        <v>18</v>
      </c>
      <c r="B248" t="s">
        <v>364</v>
      </c>
      <c r="C248" t="s">
        <v>30</v>
      </c>
      <c r="D248" t="s">
        <v>342</v>
      </c>
      <c r="E248" s="61">
        <v>110000</v>
      </c>
      <c r="F248" s="61">
        <v>0</v>
      </c>
      <c r="G248" s="56" t="str">
        <f>TEXT(TablaGastos[[#This Row],[Orden]],"00")&amp;" "&amp;TablaGastos[[#This Row],[Semana]]</f>
        <v>18 09-14 Mar</v>
      </c>
      <c r="H248" s="56" t="str">
        <f>_xlfn.XLOOKUP(TablaGastos[[#This Row],[Semana]],Pivots!$U$2:$U$30,Pivots!$Y$2:$Y$30)</f>
        <v>5-Mar</v>
      </c>
    </row>
    <row r="249" spans="1:8" x14ac:dyDescent="0.3">
      <c r="A249">
        <v>18</v>
      </c>
      <c r="B249" t="s">
        <v>364</v>
      </c>
      <c r="C249" t="s">
        <v>41</v>
      </c>
      <c r="D249" t="s">
        <v>342</v>
      </c>
      <c r="E249" s="61">
        <v>22000</v>
      </c>
      <c r="F249" s="61">
        <v>0</v>
      </c>
      <c r="G249" s="56" t="str">
        <f>TEXT(TablaGastos[[#This Row],[Orden]],"00")&amp;" "&amp;TablaGastos[[#This Row],[Semana]]</f>
        <v>18 09-14 Mar</v>
      </c>
      <c r="H249" s="56" t="str">
        <f>_xlfn.XLOOKUP(TablaGastos[[#This Row],[Semana]],Pivots!$U$2:$U$30,Pivots!$Y$2:$Y$30)</f>
        <v>5-Mar</v>
      </c>
    </row>
    <row r="250" spans="1:8" x14ac:dyDescent="0.3">
      <c r="A250">
        <v>18</v>
      </c>
      <c r="B250" t="s">
        <v>364</v>
      </c>
      <c r="C250" t="s">
        <v>2</v>
      </c>
      <c r="D250" t="s">
        <v>342</v>
      </c>
      <c r="E250" s="61">
        <v>24415.439999999999</v>
      </c>
      <c r="F250" s="61">
        <v>0</v>
      </c>
      <c r="G250" s="56" t="str">
        <f>TEXT(TablaGastos[[#This Row],[Orden]],"00")&amp;" "&amp;TablaGastos[[#This Row],[Semana]]</f>
        <v>18 09-14 Mar</v>
      </c>
      <c r="H250" s="56" t="str">
        <f>_xlfn.XLOOKUP(TablaGastos[[#This Row],[Semana]],Pivots!$U$2:$U$30,Pivots!$Y$2:$Y$30)</f>
        <v>5-Mar</v>
      </c>
    </row>
    <row r="251" spans="1:8" x14ac:dyDescent="0.3">
      <c r="A251">
        <v>18</v>
      </c>
      <c r="B251" t="s">
        <v>364</v>
      </c>
      <c r="C251" t="s">
        <v>188</v>
      </c>
      <c r="D251" t="s">
        <v>422</v>
      </c>
      <c r="E251" s="61">
        <v>1493.5</v>
      </c>
      <c r="F251" s="61">
        <v>7467.5</v>
      </c>
      <c r="G251" s="56" t="str">
        <f>TEXT(TablaGastos[[#This Row],[Orden]],"00")&amp;" "&amp;TablaGastos[[#This Row],[Semana]]</f>
        <v>18 09-14 Mar</v>
      </c>
      <c r="H251" s="56" t="str">
        <f>_xlfn.XLOOKUP(TablaGastos[[#This Row],[Semana]],Pivots!$U$2:$U$30,Pivots!$Y$2:$Y$30)</f>
        <v>5-Mar</v>
      </c>
    </row>
    <row r="252" spans="1:8" x14ac:dyDescent="0.3">
      <c r="A252">
        <v>18</v>
      </c>
      <c r="B252" t="s">
        <v>364</v>
      </c>
      <c r="C252" t="s">
        <v>37</v>
      </c>
      <c r="D252" t="s">
        <v>342</v>
      </c>
      <c r="E252" s="61">
        <v>0</v>
      </c>
      <c r="F252" s="61">
        <v>10000</v>
      </c>
      <c r="G252" s="56" t="str">
        <f>TEXT(TablaGastos[[#This Row],[Orden]],"00")&amp;" "&amp;TablaGastos[[#This Row],[Semana]]</f>
        <v>18 09-14 Mar</v>
      </c>
      <c r="H252" s="56" t="str">
        <f>_xlfn.XLOOKUP(TablaGastos[[#This Row],[Semana]],Pivots!$U$2:$U$30,Pivots!$Y$2:$Y$30)</f>
        <v>5-Mar</v>
      </c>
    </row>
    <row r="253" spans="1:8" x14ac:dyDescent="0.3">
      <c r="A253">
        <v>18</v>
      </c>
      <c r="B253" t="s">
        <v>364</v>
      </c>
      <c r="C253" t="s">
        <v>107</v>
      </c>
      <c r="D253" t="s">
        <v>421</v>
      </c>
      <c r="E253" s="61">
        <v>6822.9840000000004</v>
      </c>
      <c r="F253" s="61">
        <v>0</v>
      </c>
      <c r="G253" s="56" t="str">
        <f>TEXT(TablaGastos[[#This Row],[Orden]],"00")&amp;" "&amp;TablaGastos[[#This Row],[Semana]]</f>
        <v>18 09-14 Mar</v>
      </c>
      <c r="H253" s="56" t="str">
        <f>_xlfn.XLOOKUP(TablaGastos[[#This Row],[Semana]],Pivots!$U$2:$U$30,Pivots!$Y$2:$Y$30)</f>
        <v>5-Mar</v>
      </c>
    </row>
    <row r="254" spans="1:8" x14ac:dyDescent="0.3">
      <c r="A254">
        <v>18</v>
      </c>
      <c r="B254" t="s">
        <v>364</v>
      </c>
      <c r="C254" t="s">
        <v>55</v>
      </c>
      <c r="D254" t="s">
        <v>342</v>
      </c>
      <c r="E254" s="61">
        <v>0</v>
      </c>
      <c r="F254" s="61">
        <v>28500</v>
      </c>
      <c r="G254" s="56" t="str">
        <f>TEXT(TablaGastos[[#This Row],[Orden]],"00")&amp;" "&amp;TablaGastos[[#This Row],[Semana]]</f>
        <v>18 09-14 Mar</v>
      </c>
      <c r="H254" s="56" t="str">
        <f>_xlfn.XLOOKUP(TablaGastos[[#This Row],[Semana]],Pivots!$U$2:$U$30,Pivots!$Y$2:$Y$30)</f>
        <v>5-Mar</v>
      </c>
    </row>
    <row r="255" spans="1:8" x14ac:dyDescent="0.3">
      <c r="A255">
        <v>18</v>
      </c>
      <c r="B255" t="s">
        <v>364</v>
      </c>
      <c r="C255" t="s">
        <v>194</v>
      </c>
      <c r="D255" t="s">
        <v>422</v>
      </c>
      <c r="E255" s="61">
        <v>0</v>
      </c>
      <c r="F255" s="61">
        <v>15370</v>
      </c>
      <c r="G255" s="56" t="str">
        <f>TEXT(TablaGastos[[#This Row],[Orden]],"00")&amp;" "&amp;TablaGastos[[#This Row],[Semana]]</f>
        <v>18 09-14 Mar</v>
      </c>
      <c r="H255" s="56" t="str">
        <f>_xlfn.XLOOKUP(TablaGastos[[#This Row],[Semana]],Pivots!$U$2:$U$30,Pivots!$Y$2:$Y$30)</f>
        <v>5-Mar</v>
      </c>
    </row>
    <row r="256" spans="1:8" x14ac:dyDescent="0.3">
      <c r="A256">
        <v>18</v>
      </c>
      <c r="B256" t="s">
        <v>364</v>
      </c>
      <c r="C256" t="s">
        <v>170</v>
      </c>
      <c r="D256" t="s">
        <v>422</v>
      </c>
      <c r="E256" s="61">
        <v>0</v>
      </c>
      <c r="F256" s="61">
        <v>28477.37</v>
      </c>
      <c r="G256" s="56" t="str">
        <f>TEXT(TablaGastos[[#This Row],[Orden]],"00")&amp;" "&amp;TablaGastos[[#This Row],[Semana]]</f>
        <v>18 09-14 Mar</v>
      </c>
      <c r="H256" s="56" t="str">
        <f>_xlfn.XLOOKUP(TablaGastos[[#This Row],[Semana]],Pivots!$U$2:$U$30,Pivots!$Y$2:$Y$30)</f>
        <v>5-Mar</v>
      </c>
    </row>
    <row r="257" spans="1:8" x14ac:dyDescent="0.3">
      <c r="A257">
        <v>18</v>
      </c>
      <c r="B257" t="s">
        <v>364</v>
      </c>
      <c r="C257" t="s">
        <v>1</v>
      </c>
      <c r="D257" t="s">
        <v>347</v>
      </c>
      <c r="E257" s="61">
        <v>0</v>
      </c>
      <c r="F257" s="61">
        <v>25000</v>
      </c>
      <c r="G257" s="56" t="str">
        <f>TEXT(TablaGastos[[#This Row],[Orden]],"00")&amp;" "&amp;TablaGastos[[#This Row],[Semana]]</f>
        <v>18 09-14 Mar</v>
      </c>
      <c r="H257" s="56" t="str">
        <f>_xlfn.XLOOKUP(TablaGastos[[#This Row],[Semana]],Pivots!$U$2:$U$30,Pivots!$Y$2:$Y$30)</f>
        <v>5-Mar</v>
      </c>
    </row>
    <row r="258" spans="1:8" x14ac:dyDescent="0.3">
      <c r="A258">
        <v>18</v>
      </c>
      <c r="B258" t="s">
        <v>364</v>
      </c>
      <c r="C258" t="s">
        <v>160</v>
      </c>
      <c r="D258" t="s">
        <v>422</v>
      </c>
      <c r="E258" s="61">
        <v>0</v>
      </c>
      <c r="F258" s="61">
        <v>7250</v>
      </c>
      <c r="G258" s="56" t="str">
        <f>TEXT(TablaGastos[[#This Row],[Orden]],"00")&amp;" "&amp;TablaGastos[[#This Row],[Semana]]</f>
        <v>18 09-14 Mar</v>
      </c>
      <c r="H258" s="56" t="str">
        <f>_xlfn.XLOOKUP(TablaGastos[[#This Row],[Semana]],Pivots!$U$2:$U$30,Pivots!$Y$2:$Y$30)</f>
        <v>5-Mar</v>
      </c>
    </row>
    <row r="259" spans="1:8" x14ac:dyDescent="0.3">
      <c r="A259">
        <v>18</v>
      </c>
      <c r="B259" t="s">
        <v>364</v>
      </c>
      <c r="C259" t="s">
        <v>195</v>
      </c>
      <c r="D259" t="s">
        <v>344</v>
      </c>
      <c r="E259" s="61">
        <v>20000</v>
      </c>
      <c r="F259" s="61">
        <v>0</v>
      </c>
      <c r="G259" s="56" t="str">
        <f>TEXT(TablaGastos[[#This Row],[Orden]],"00")&amp;" "&amp;TablaGastos[[#This Row],[Semana]]</f>
        <v>18 09-14 Mar</v>
      </c>
      <c r="H259" s="56" t="str">
        <f>_xlfn.XLOOKUP(TablaGastos[[#This Row],[Semana]],Pivots!$U$2:$U$30,Pivots!$Y$2:$Y$30)</f>
        <v>5-Mar</v>
      </c>
    </row>
    <row r="260" spans="1:8" x14ac:dyDescent="0.3">
      <c r="A260">
        <v>18</v>
      </c>
      <c r="B260" t="s">
        <v>364</v>
      </c>
      <c r="C260" t="s">
        <v>196</v>
      </c>
      <c r="D260" t="s">
        <v>344</v>
      </c>
      <c r="E260" s="61">
        <v>2400</v>
      </c>
      <c r="F260" s="61">
        <v>0</v>
      </c>
      <c r="G260" s="56" t="str">
        <f>TEXT(TablaGastos[[#This Row],[Orden]],"00")&amp;" "&amp;TablaGastos[[#This Row],[Semana]]</f>
        <v>18 09-14 Mar</v>
      </c>
      <c r="H260" s="56" t="str">
        <f>_xlfn.XLOOKUP(TablaGastos[[#This Row],[Semana]],Pivots!$U$2:$U$30,Pivots!$Y$2:$Y$30)</f>
        <v>5-Mar</v>
      </c>
    </row>
    <row r="261" spans="1:8" x14ac:dyDescent="0.3">
      <c r="A261">
        <v>19</v>
      </c>
      <c r="B261" t="s">
        <v>365</v>
      </c>
      <c r="C261" t="s">
        <v>30</v>
      </c>
      <c r="D261" t="s">
        <v>342</v>
      </c>
      <c r="E261" s="61">
        <v>10000</v>
      </c>
      <c r="F261" s="61">
        <v>100000</v>
      </c>
      <c r="G261" s="56" t="str">
        <f>TEXT(TablaGastos[[#This Row],[Orden]],"00")&amp;" "&amp;TablaGastos[[#This Row],[Semana]]</f>
        <v>19 16 21 Mar</v>
      </c>
      <c r="H261" s="56" t="str">
        <f>_xlfn.XLOOKUP(TablaGastos[[#This Row],[Semana]],Pivots!$U$2:$U$30,Pivots!$Y$2:$Y$30)</f>
        <v>5-Mar</v>
      </c>
    </row>
    <row r="262" spans="1:8" x14ac:dyDescent="0.3">
      <c r="A262">
        <v>19</v>
      </c>
      <c r="B262" t="s">
        <v>365</v>
      </c>
      <c r="C262" t="s">
        <v>199</v>
      </c>
      <c r="D262" t="s">
        <v>342</v>
      </c>
      <c r="E262" s="61">
        <v>10800</v>
      </c>
      <c r="F262" s="61">
        <v>10800</v>
      </c>
      <c r="G262" s="56" t="str">
        <f>TEXT(TablaGastos[[#This Row],[Orden]],"00")&amp;" "&amp;TablaGastos[[#This Row],[Semana]]</f>
        <v>19 16 21 Mar</v>
      </c>
      <c r="H262" s="56" t="str">
        <f>_xlfn.XLOOKUP(TablaGastos[[#This Row],[Semana]],Pivots!$U$2:$U$30,Pivots!$Y$2:$Y$30)</f>
        <v>5-Mar</v>
      </c>
    </row>
    <row r="263" spans="1:8" x14ac:dyDescent="0.3">
      <c r="A263">
        <v>19</v>
      </c>
      <c r="B263" t="s">
        <v>365</v>
      </c>
      <c r="C263" t="s">
        <v>41</v>
      </c>
      <c r="D263" t="s">
        <v>342</v>
      </c>
      <c r="E263" s="61">
        <v>10000</v>
      </c>
      <c r="F263" s="61">
        <v>8950</v>
      </c>
      <c r="G263" s="56" t="str">
        <f>TEXT(TablaGastos[[#This Row],[Orden]],"00")&amp;" "&amp;TablaGastos[[#This Row],[Semana]]</f>
        <v>19 16 21 Mar</v>
      </c>
      <c r="H263" s="56" t="str">
        <f>_xlfn.XLOOKUP(TablaGastos[[#This Row],[Semana]],Pivots!$U$2:$U$30,Pivots!$Y$2:$Y$30)</f>
        <v>5-Mar</v>
      </c>
    </row>
    <row r="264" spans="1:8" x14ac:dyDescent="0.3">
      <c r="A264">
        <v>19</v>
      </c>
      <c r="B264" t="s">
        <v>365</v>
      </c>
      <c r="C264" t="s">
        <v>2</v>
      </c>
      <c r="D264" t="s">
        <v>342</v>
      </c>
      <c r="E264" s="61">
        <v>0</v>
      </c>
      <c r="F264" s="61">
        <v>35000</v>
      </c>
      <c r="G264" s="56" t="str">
        <f>TEXT(TablaGastos[[#This Row],[Orden]],"00")&amp;" "&amp;TablaGastos[[#This Row],[Semana]]</f>
        <v>19 16 21 Mar</v>
      </c>
      <c r="H264" s="56" t="str">
        <f>_xlfn.XLOOKUP(TablaGastos[[#This Row],[Semana]],Pivots!$U$2:$U$30,Pivots!$Y$2:$Y$30)</f>
        <v>5-Mar</v>
      </c>
    </row>
    <row r="265" spans="1:8" x14ac:dyDescent="0.3">
      <c r="A265">
        <v>19</v>
      </c>
      <c r="B265" t="s">
        <v>365</v>
      </c>
      <c r="C265" t="s">
        <v>188</v>
      </c>
      <c r="D265" t="s">
        <v>422</v>
      </c>
      <c r="E265" s="61">
        <v>0</v>
      </c>
      <c r="F265" s="61">
        <v>7467.5</v>
      </c>
      <c r="G265" s="56" t="str">
        <f>TEXT(TablaGastos[[#This Row],[Orden]],"00")&amp;" "&amp;TablaGastos[[#This Row],[Semana]]</f>
        <v>19 16 21 Mar</v>
      </c>
      <c r="H265" s="56" t="str">
        <f>_xlfn.XLOOKUP(TablaGastos[[#This Row],[Semana]],Pivots!$U$2:$U$30,Pivots!$Y$2:$Y$30)</f>
        <v>5-Mar</v>
      </c>
    </row>
    <row r="266" spans="1:8" x14ac:dyDescent="0.3">
      <c r="A266">
        <v>19</v>
      </c>
      <c r="B266" t="s">
        <v>365</v>
      </c>
      <c r="C266" t="s">
        <v>37</v>
      </c>
      <c r="D266" t="s">
        <v>342</v>
      </c>
      <c r="E266" s="61">
        <v>0</v>
      </c>
      <c r="F266" s="61">
        <v>10000</v>
      </c>
      <c r="G266" s="56" t="str">
        <f>TEXT(TablaGastos[[#This Row],[Orden]],"00")&amp;" "&amp;TablaGastos[[#This Row],[Semana]]</f>
        <v>19 16 21 Mar</v>
      </c>
      <c r="H266" s="56" t="str">
        <f>_xlfn.XLOOKUP(TablaGastos[[#This Row],[Semana]],Pivots!$U$2:$U$30,Pivots!$Y$2:$Y$30)</f>
        <v>5-Mar</v>
      </c>
    </row>
    <row r="267" spans="1:8" x14ac:dyDescent="0.3">
      <c r="A267">
        <v>19</v>
      </c>
      <c r="B267" t="s">
        <v>365</v>
      </c>
      <c r="C267" t="s">
        <v>7</v>
      </c>
      <c r="D267" t="s">
        <v>421</v>
      </c>
      <c r="E267" s="61">
        <v>3828</v>
      </c>
      <c r="F267" s="61">
        <v>0</v>
      </c>
      <c r="G267" s="56" t="str">
        <f>TEXT(TablaGastos[[#This Row],[Orden]],"00")&amp;" "&amp;TablaGastos[[#This Row],[Semana]]</f>
        <v>19 16 21 Mar</v>
      </c>
      <c r="H267" s="56" t="str">
        <f>_xlfn.XLOOKUP(TablaGastos[[#This Row],[Semana]],Pivots!$U$2:$U$30,Pivots!$Y$2:$Y$30)</f>
        <v>5-Mar</v>
      </c>
    </row>
    <row r="268" spans="1:8" x14ac:dyDescent="0.3">
      <c r="A268">
        <v>19</v>
      </c>
      <c r="B268" t="s">
        <v>365</v>
      </c>
      <c r="C268" t="s">
        <v>206</v>
      </c>
      <c r="D268" t="s">
        <v>344</v>
      </c>
      <c r="E268" s="61">
        <v>14500</v>
      </c>
      <c r="F268" s="61">
        <v>0</v>
      </c>
      <c r="G268" s="56" t="str">
        <f>TEXT(TablaGastos[[#This Row],[Orden]],"00")&amp;" "&amp;TablaGastos[[#This Row],[Semana]]</f>
        <v>19 16 21 Mar</v>
      </c>
      <c r="H268" s="56" t="str">
        <f>_xlfn.XLOOKUP(TablaGastos[[#This Row],[Semana]],Pivots!$U$2:$U$30,Pivots!$Y$2:$Y$30)</f>
        <v>5-Mar</v>
      </c>
    </row>
    <row r="269" spans="1:8" x14ac:dyDescent="0.3">
      <c r="A269">
        <v>19</v>
      </c>
      <c r="B269" t="s">
        <v>365</v>
      </c>
      <c r="C269" t="s">
        <v>107</v>
      </c>
      <c r="D269" t="s">
        <v>421</v>
      </c>
      <c r="E269" s="61">
        <v>6323.1</v>
      </c>
      <c r="F269" s="61">
        <v>0</v>
      </c>
      <c r="G269" s="56" t="str">
        <f>TEXT(TablaGastos[[#This Row],[Orden]],"00")&amp;" "&amp;TablaGastos[[#This Row],[Semana]]</f>
        <v>19 16 21 Mar</v>
      </c>
      <c r="H269" s="56" t="str">
        <f>_xlfn.XLOOKUP(TablaGastos[[#This Row],[Semana]],Pivots!$U$2:$U$30,Pivots!$Y$2:$Y$30)</f>
        <v>5-Mar</v>
      </c>
    </row>
    <row r="270" spans="1:8" x14ac:dyDescent="0.3">
      <c r="A270">
        <v>19</v>
      </c>
      <c r="B270" t="s">
        <v>365</v>
      </c>
      <c r="C270" t="s">
        <v>175</v>
      </c>
      <c r="D270" t="s">
        <v>422</v>
      </c>
      <c r="E270" s="61">
        <v>3410</v>
      </c>
      <c r="F270" s="61">
        <v>0</v>
      </c>
      <c r="G270" s="56" t="str">
        <f>TEXT(TablaGastos[[#This Row],[Orden]],"00")&amp;" "&amp;TablaGastos[[#This Row],[Semana]]</f>
        <v>19 16 21 Mar</v>
      </c>
      <c r="H270" s="56" t="str">
        <f>_xlfn.XLOOKUP(TablaGastos[[#This Row],[Semana]],Pivots!$U$2:$U$30,Pivots!$Y$2:$Y$30)</f>
        <v>5-Mar</v>
      </c>
    </row>
    <row r="271" spans="1:8" x14ac:dyDescent="0.3">
      <c r="A271">
        <v>19</v>
      </c>
      <c r="B271" t="s">
        <v>365</v>
      </c>
      <c r="C271" t="s">
        <v>170</v>
      </c>
      <c r="D271" t="s">
        <v>422</v>
      </c>
      <c r="E271" s="61">
        <v>0</v>
      </c>
      <c r="F271" s="61">
        <v>61642.400000000001</v>
      </c>
      <c r="G271" s="56" t="str">
        <f>TEXT(TablaGastos[[#This Row],[Orden]],"00")&amp;" "&amp;TablaGastos[[#This Row],[Semana]]</f>
        <v>19 16 21 Mar</v>
      </c>
      <c r="H271" s="56" t="str">
        <f>_xlfn.XLOOKUP(TablaGastos[[#This Row],[Semana]],Pivots!$U$2:$U$30,Pivots!$Y$2:$Y$30)</f>
        <v>5-Mar</v>
      </c>
    </row>
    <row r="272" spans="1:8" x14ac:dyDescent="0.3">
      <c r="A272">
        <v>19</v>
      </c>
      <c r="B272" t="s">
        <v>365</v>
      </c>
      <c r="C272" t="s">
        <v>1</v>
      </c>
      <c r="D272" t="s">
        <v>347</v>
      </c>
      <c r="E272" s="61">
        <v>0</v>
      </c>
      <c r="F272" s="61">
        <v>25000</v>
      </c>
      <c r="G272" s="56" t="str">
        <f>TEXT(TablaGastos[[#This Row],[Orden]],"00")&amp;" "&amp;TablaGastos[[#This Row],[Semana]]</f>
        <v>19 16 21 Mar</v>
      </c>
      <c r="H272" s="56" t="str">
        <f>_xlfn.XLOOKUP(TablaGastos[[#This Row],[Semana]],Pivots!$U$2:$U$30,Pivots!$Y$2:$Y$30)</f>
        <v>5-Mar</v>
      </c>
    </row>
    <row r="273" spans="1:8" x14ac:dyDescent="0.3">
      <c r="A273">
        <v>19</v>
      </c>
      <c r="B273" t="s">
        <v>365</v>
      </c>
      <c r="C273" t="s">
        <v>160</v>
      </c>
      <c r="D273" t="s">
        <v>422</v>
      </c>
      <c r="E273" s="61">
        <v>0</v>
      </c>
      <c r="F273" s="61">
        <v>7250</v>
      </c>
      <c r="G273" s="56" t="str">
        <f>TEXT(TablaGastos[[#This Row],[Orden]],"00")&amp;" "&amp;TablaGastos[[#This Row],[Semana]]</f>
        <v>19 16 21 Mar</v>
      </c>
      <c r="H273" s="56" t="str">
        <f>_xlfn.XLOOKUP(TablaGastos[[#This Row],[Semana]],Pivots!$U$2:$U$30,Pivots!$Y$2:$Y$30)</f>
        <v>5-Mar</v>
      </c>
    </row>
    <row r="274" spans="1:8" x14ac:dyDescent="0.3">
      <c r="A274">
        <v>19</v>
      </c>
      <c r="B274" t="s">
        <v>365</v>
      </c>
      <c r="C274" t="s">
        <v>207</v>
      </c>
      <c r="D274" t="s">
        <v>344</v>
      </c>
      <c r="E274" s="61">
        <v>7499</v>
      </c>
      <c r="F274" s="61">
        <v>0</v>
      </c>
      <c r="G274" s="56" t="str">
        <f>TEXT(TablaGastos[[#This Row],[Orden]],"00")&amp;" "&amp;TablaGastos[[#This Row],[Semana]]</f>
        <v>19 16 21 Mar</v>
      </c>
      <c r="H274" s="56" t="str">
        <f>_xlfn.XLOOKUP(TablaGastos[[#This Row],[Semana]],Pivots!$U$2:$U$30,Pivots!$Y$2:$Y$30)</f>
        <v>5-Mar</v>
      </c>
    </row>
    <row r="275" spans="1:8" x14ac:dyDescent="0.3">
      <c r="A275">
        <v>20</v>
      </c>
      <c r="B275" t="s">
        <v>366</v>
      </c>
      <c r="C275" t="s">
        <v>30</v>
      </c>
      <c r="D275" t="s">
        <v>342</v>
      </c>
      <c r="E275" s="61">
        <v>100000</v>
      </c>
      <c r="F275" s="61">
        <v>0</v>
      </c>
      <c r="G275" s="56" t="str">
        <f>TEXT(TablaGastos[[#This Row],[Orden]],"00")&amp;" "&amp;TablaGastos[[#This Row],[Semana]]</f>
        <v>20 23 28 Mar</v>
      </c>
      <c r="H275" s="56" t="str">
        <f>_xlfn.XLOOKUP(TablaGastos[[#This Row],[Semana]],Pivots!$U$2:$U$30,Pivots!$Y$2:$Y$30)</f>
        <v>5-Mar</v>
      </c>
    </row>
    <row r="276" spans="1:8" x14ac:dyDescent="0.3">
      <c r="A276">
        <v>20</v>
      </c>
      <c r="B276" t="s">
        <v>366</v>
      </c>
      <c r="C276" t="s">
        <v>199</v>
      </c>
      <c r="D276" t="s">
        <v>342</v>
      </c>
      <c r="E276" s="61">
        <v>10800</v>
      </c>
      <c r="F276" s="61">
        <v>0</v>
      </c>
      <c r="G276" s="56" t="str">
        <f>TEXT(TablaGastos[[#This Row],[Orden]],"00")&amp;" "&amp;TablaGastos[[#This Row],[Semana]]</f>
        <v>20 23 28 Mar</v>
      </c>
      <c r="H276" s="56" t="str">
        <f>_xlfn.XLOOKUP(TablaGastos[[#This Row],[Semana]],Pivots!$U$2:$U$30,Pivots!$Y$2:$Y$30)</f>
        <v>5-Mar</v>
      </c>
    </row>
    <row r="277" spans="1:8" x14ac:dyDescent="0.3">
      <c r="A277">
        <v>20</v>
      </c>
      <c r="B277" t="s">
        <v>366</v>
      </c>
      <c r="C277" t="s">
        <v>41</v>
      </c>
      <c r="D277" t="s">
        <v>342</v>
      </c>
      <c r="E277" s="61">
        <v>16950</v>
      </c>
      <c r="F277" s="61">
        <v>0</v>
      </c>
      <c r="G277" s="56" t="str">
        <f>TEXT(TablaGastos[[#This Row],[Orden]],"00")&amp;" "&amp;TablaGastos[[#This Row],[Semana]]</f>
        <v>20 23 28 Mar</v>
      </c>
      <c r="H277" s="56" t="str">
        <f>_xlfn.XLOOKUP(TablaGastos[[#This Row],[Semana]],Pivots!$U$2:$U$30,Pivots!$Y$2:$Y$30)</f>
        <v>5-Mar</v>
      </c>
    </row>
    <row r="278" spans="1:8" x14ac:dyDescent="0.3">
      <c r="A278">
        <v>20</v>
      </c>
      <c r="B278" t="s">
        <v>366</v>
      </c>
      <c r="C278" t="s">
        <v>37</v>
      </c>
      <c r="D278" t="s">
        <v>342</v>
      </c>
      <c r="E278" s="61">
        <v>10000</v>
      </c>
      <c r="F278" s="61">
        <v>0</v>
      </c>
      <c r="G278" s="56" t="str">
        <f>TEXT(TablaGastos[[#This Row],[Orden]],"00")&amp;" "&amp;TablaGastos[[#This Row],[Semana]]</f>
        <v>20 23 28 Mar</v>
      </c>
      <c r="H278" s="56" t="str">
        <f>_xlfn.XLOOKUP(TablaGastos[[#This Row],[Semana]],Pivots!$U$2:$U$30,Pivots!$Y$2:$Y$30)</f>
        <v>5-Mar</v>
      </c>
    </row>
    <row r="279" spans="1:8" x14ac:dyDescent="0.3">
      <c r="A279">
        <v>20</v>
      </c>
      <c r="B279" t="s">
        <v>366</v>
      </c>
      <c r="C279" t="s">
        <v>209</v>
      </c>
      <c r="D279" t="s">
        <v>344</v>
      </c>
      <c r="E279" s="61">
        <v>2501.41</v>
      </c>
      <c r="F279" s="61">
        <v>0</v>
      </c>
      <c r="G279" s="56" t="str">
        <f>TEXT(TablaGastos[[#This Row],[Orden]],"00")&amp;" "&amp;TablaGastos[[#This Row],[Semana]]</f>
        <v>20 23 28 Mar</v>
      </c>
      <c r="H279" s="56" t="str">
        <f>_xlfn.XLOOKUP(TablaGastos[[#This Row],[Semana]],Pivots!$U$2:$U$30,Pivots!$Y$2:$Y$30)</f>
        <v>5-Mar</v>
      </c>
    </row>
    <row r="280" spans="1:8" x14ac:dyDescent="0.3">
      <c r="A280">
        <v>20</v>
      </c>
      <c r="B280" t="s">
        <v>366</v>
      </c>
      <c r="C280" t="s">
        <v>107</v>
      </c>
      <c r="D280" t="s">
        <v>421</v>
      </c>
      <c r="E280" s="61">
        <v>5365.5</v>
      </c>
      <c r="F280" s="61">
        <v>0</v>
      </c>
      <c r="G280" s="56" t="str">
        <f>TEXT(TablaGastos[[#This Row],[Orden]],"00")&amp;" "&amp;TablaGastos[[#This Row],[Semana]]</f>
        <v>20 23 28 Mar</v>
      </c>
      <c r="H280" s="56" t="str">
        <f>_xlfn.XLOOKUP(TablaGastos[[#This Row],[Semana]],Pivots!$U$2:$U$30,Pivots!$Y$2:$Y$30)</f>
        <v>5-Mar</v>
      </c>
    </row>
    <row r="281" spans="1:8" x14ac:dyDescent="0.3">
      <c r="A281">
        <v>20</v>
      </c>
      <c r="B281" t="s">
        <v>366</v>
      </c>
      <c r="C281" t="s">
        <v>170</v>
      </c>
      <c r="D281" t="s">
        <v>422</v>
      </c>
      <c r="E281" s="61">
        <v>0</v>
      </c>
      <c r="F281" s="61">
        <v>61642.400000000001</v>
      </c>
      <c r="G281" s="56" t="str">
        <f>TEXT(TablaGastos[[#This Row],[Orden]],"00")&amp;" "&amp;TablaGastos[[#This Row],[Semana]]</f>
        <v>20 23 28 Mar</v>
      </c>
      <c r="H281" s="56" t="str">
        <f>_xlfn.XLOOKUP(TablaGastos[[#This Row],[Semana]],Pivots!$U$2:$U$30,Pivots!$Y$2:$Y$30)</f>
        <v>5-Mar</v>
      </c>
    </row>
    <row r="282" spans="1:8" x14ac:dyDescent="0.3">
      <c r="A282">
        <v>20</v>
      </c>
      <c r="B282" t="s">
        <v>366</v>
      </c>
      <c r="C282" t="s">
        <v>1</v>
      </c>
      <c r="D282" t="s">
        <v>347</v>
      </c>
      <c r="E282" s="61">
        <v>0</v>
      </c>
      <c r="F282" s="61">
        <v>25000</v>
      </c>
      <c r="G282" s="56" t="str">
        <f>TEXT(TablaGastos[[#This Row],[Orden]],"00")&amp;" "&amp;TablaGastos[[#This Row],[Semana]]</f>
        <v>20 23 28 Mar</v>
      </c>
      <c r="H282" s="56" t="str">
        <f>_xlfn.XLOOKUP(TablaGastos[[#This Row],[Semana]],Pivots!$U$2:$U$30,Pivots!$Y$2:$Y$30)</f>
        <v>5-Mar</v>
      </c>
    </row>
    <row r="283" spans="1:8" x14ac:dyDescent="0.3">
      <c r="A283">
        <v>20</v>
      </c>
      <c r="B283" t="s">
        <v>366</v>
      </c>
      <c r="C283" t="s">
        <v>160</v>
      </c>
      <c r="D283" t="s">
        <v>422</v>
      </c>
      <c r="E283" s="61">
        <v>0</v>
      </c>
      <c r="F283" s="61">
        <v>7250</v>
      </c>
      <c r="G283" s="56" t="str">
        <f>TEXT(TablaGastos[[#This Row],[Orden]],"00")&amp;" "&amp;TablaGastos[[#This Row],[Semana]]</f>
        <v>20 23 28 Mar</v>
      </c>
      <c r="H283" s="56" t="str">
        <f>_xlfn.XLOOKUP(TablaGastos[[#This Row],[Semana]],Pivots!$U$2:$U$30,Pivots!$Y$2:$Y$30)</f>
        <v>5-Mar</v>
      </c>
    </row>
    <row r="284" spans="1:8" x14ac:dyDescent="0.3">
      <c r="A284">
        <v>20</v>
      </c>
      <c r="B284" t="s">
        <v>366</v>
      </c>
      <c r="C284" t="s">
        <v>195</v>
      </c>
      <c r="D284" t="s">
        <v>344</v>
      </c>
      <c r="E284" s="61">
        <v>0</v>
      </c>
      <c r="F284" s="61">
        <v>20000</v>
      </c>
      <c r="G284" s="56" t="str">
        <f>TEXT(TablaGastos[[#This Row],[Orden]],"00")&amp;" "&amp;TablaGastos[[#This Row],[Semana]]</f>
        <v>20 23 28 Mar</v>
      </c>
      <c r="H284" s="56" t="str">
        <f>_xlfn.XLOOKUP(TablaGastos[[#This Row],[Semana]],Pivots!$U$2:$U$30,Pivots!$Y$2:$Y$30)</f>
        <v>5-Mar</v>
      </c>
    </row>
    <row r="285" spans="1:8" x14ac:dyDescent="0.3">
      <c r="A285">
        <v>20</v>
      </c>
      <c r="B285" t="s">
        <v>366</v>
      </c>
      <c r="C285" t="s">
        <v>210</v>
      </c>
      <c r="D285" t="s">
        <v>344</v>
      </c>
      <c r="E285" s="61">
        <v>50000</v>
      </c>
      <c r="F285" s="61">
        <v>0</v>
      </c>
      <c r="G285" s="56" t="str">
        <f>TEXT(TablaGastos[[#This Row],[Orden]],"00")&amp;" "&amp;TablaGastos[[#This Row],[Semana]]</f>
        <v>20 23 28 Mar</v>
      </c>
      <c r="H285" s="56" t="str">
        <f>_xlfn.XLOOKUP(TablaGastos[[#This Row],[Semana]],Pivots!$U$2:$U$30,Pivots!$Y$2:$Y$30)</f>
        <v>5-Mar</v>
      </c>
    </row>
    <row r="286" spans="1:8" x14ac:dyDescent="0.3">
      <c r="A286">
        <v>20</v>
      </c>
      <c r="B286" t="s">
        <v>366</v>
      </c>
      <c r="C286" t="s">
        <v>211</v>
      </c>
      <c r="D286" t="s">
        <v>344</v>
      </c>
      <c r="E286" s="61">
        <v>7540</v>
      </c>
      <c r="F286" s="61">
        <v>0</v>
      </c>
      <c r="G286" s="56" t="str">
        <f>TEXT(TablaGastos[[#This Row],[Orden]],"00")&amp;" "&amp;TablaGastos[[#This Row],[Semana]]</f>
        <v>20 23 28 Mar</v>
      </c>
      <c r="H286" s="56" t="str">
        <f>_xlfn.XLOOKUP(TablaGastos[[#This Row],[Semana]],Pivots!$U$2:$U$30,Pivots!$Y$2:$Y$30)</f>
        <v>5-Mar</v>
      </c>
    </row>
    <row r="287" spans="1:8" x14ac:dyDescent="0.3">
      <c r="A287">
        <v>21</v>
      </c>
      <c r="B287" t="s">
        <v>367</v>
      </c>
      <c r="C287" t="s">
        <v>30</v>
      </c>
      <c r="D287" t="s">
        <v>342</v>
      </c>
      <c r="E287" s="61">
        <v>105000</v>
      </c>
      <c r="F287" s="61">
        <v>0</v>
      </c>
      <c r="G287" s="56" t="str">
        <f>TEXT(TablaGastos[[#This Row],[Orden]],"00")&amp;" "&amp;TablaGastos[[#This Row],[Semana]]</f>
        <v>21 30 Mar 04 Abril</v>
      </c>
      <c r="H287" s="56" t="str">
        <f>_xlfn.XLOOKUP(TablaGastos[[#This Row],[Semana]],Pivots!$U$2:$U$30,Pivots!$Y$2:$Y$30)</f>
        <v>5-Mar</v>
      </c>
    </row>
    <row r="288" spans="1:8" x14ac:dyDescent="0.3">
      <c r="A288">
        <v>21</v>
      </c>
      <c r="B288" t="s">
        <v>367</v>
      </c>
      <c r="C288" t="s">
        <v>41</v>
      </c>
      <c r="D288" t="s">
        <v>342</v>
      </c>
      <c r="E288" s="61">
        <v>17950</v>
      </c>
      <c r="F288" s="61">
        <v>0</v>
      </c>
      <c r="G288" s="56" t="str">
        <f>TEXT(TablaGastos[[#This Row],[Orden]],"00")&amp;" "&amp;TablaGastos[[#This Row],[Semana]]</f>
        <v>21 30 Mar 04 Abril</v>
      </c>
      <c r="H288" s="56" t="str">
        <f>_xlfn.XLOOKUP(TablaGastos[[#This Row],[Semana]],Pivots!$U$2:$U$30,Pivots!$Y$2:$Y$30)</f>
        <v>5-Mar</v>
      </c>
    </row>
    <row r="289" spans="1:8" x14ac:dyDescent="0.3">
      <c r="A289">
        <v>21</v>
      </c>
      <c r="B289" t="s">
        <v>367</v>
      </c>
      <c r="C289" t="s">
        <v>37</v>
      </c>
      <c r="D289" t="s">
        <v>342</v>
      </c>
      <c r="E289" s="61">
        <v>0</v>
      </c>
      <c r="F289" s="61">
        <v>10000</v>
      </c>
      <c r="G289" s="56" t="str">
        <f>TEXT(TablaGastos[[#This Row],[Orden]],"00")&amp;" "&amp;TablaGastos[[#This Row],[Semana]]</f>
        <v>21 30 Mar 04 Abril</v>
      </c>
      <c r="H289" s="56" t="str">
        <f>_xlfn.XLOOKUP(TablaGastos[[#This Row],[Semana]],Pivots!$U$2:$U$30,Pivots!$Y$2:$Y$30)</f>
        <v>5-Mar</v>
      </c>
    </row>
    <row r="290" spans="1:8" x14ac:dyDescent="0.3">
      <c r="A290">
        <v>21</v>
      </c>
      <c r="B290" t="s">
        <v>367</v>
      </c>
      <c r="C290" t="s">
        <v>107</v>
      </c>
      <c r="D290" t="s">
        <v>421</v>
      </c>
      <c r="E290" s="61">
        <v>5163.8999999999996</v>
      </c>
      <c r="F290" s="61">
        <v>0</v>
      </c>
      <c r="G290" s="56" t="str">
        <f>TEXT(TablaGastos[[#This Row],[Orden]],"00")&amp;" "&amp;TablaGastos[[#This Row],[Semana]]</f>
        <v>21 30 Mar 04 Abril</v>
      </c>
      <c r="H290" s="56" t="str">
        <f>_xlfn.XLOOKUP(TablaGastos[[#This Row],[Semana]],Pivots!$U$2:$U$30,Pivots!$Y$2:$Y$30)</f>
        <v>5-Mar</v>
      </c>
    </row>
    <row r="291" spans="1:8" x14ac:dyDescent="0.3">
      <c r="A291">
        <v>21</v>
      </c>
      <c r="B291" t="s">
        <v>367</v>
      </c>
      <c r="C291" t="s">
        <v>170</v>
      </c>
      <c r="D291" t="s">
        <v>422</v>
      </c>
      <c r="E291" s="61">
        <v>0</v>
      </c>
      <c r="F291" s="61">
        <v>61642.400000000001</v>
      </c>
      <c r="G291" s="56" t="str">
        <f>TEXT(TablaGastos[[#This Row],[Orden]],"00")&amp;" "&amp;TablaGastos[[#This Row],[Semana]]</f>
        <v>21 30 Mar 04 Abril</v>
      </c>
      <c r="H291" s="56" t="str">
        <f>_xlfn.XLOOKUP(TablaGastos[[#This Row],[Semana]],Pivots!$U$2:$U$30,Pivots!$Y$2:$Y$30)</f>
        <v>5-Mar</v>
      </c>
    </row>
    <row r="292" spans="1:8" x14ac:dyDescent="0.3">
      <c r="A292">
        <v>21</v>
      </c>
      <c r="B292" t="s">
        <v>367</v>
      </c>
      <c r="C292" t="s">
        <v>1</v>
      </c>
      <c r="D292" t="s">
        <v>347</v>
      </c>
      <c r="E292" s="61">
        <v>0</v>
      </c>
      <c r="F292" s="61">
        <v>25000</v>
      </c>
      <c r="G292" s="56" t="str">
        <f>TEXT(TablaGastos[[#This Row],[Orden]],"00")&amp;" "&amp;TablaGastos[[#This Row],[Semana]]</f>
        <v>21 30 Mar 04 Abril</v>
      </c>
      <c r="H292" s="56" t="str">
        <f>_xlfn.XLOOKUP(TablaGastos[[#This Row],[Semana]],Pivots!$U$2:$U$30,Pivots!$Y$2:$Y$30)</f>
        <v>5-Mar</v>
      </c>
    </row>
    <row r="293" spans="1:8" x14ac:dyDescent="0.3">
      <c r="A293">
        <v>21</v>
      </c>
      <c r="B293" t="s">
        <v>367</v>
      </c>
      <c r="C293" t="s">
        <v>160</v>
      </c>
      <c r="D293" t="s">
        <v>422</v>
      </c>
      <c r="E293" s="61">
        <v>0</v>
      </c>
      <c r="F293" s="61">
        <v>7250</v>
      </c>
      <c r="G293" s="56" t="str">
        <f>TEXT(TablaGastos[[#This Row],[Orden]],"00")&amp;" "&amp;TablaGastos[[#This Row],[Semana]]</f>
        <v>21 30 Mar 04 Abril</v>
      </c>
      <c r="H293" s="56" t="str">
        <f>_xlfn.XLOOKUP(TablaGastos[[#This Row],[Semana]],Pivots!$U$2:$U$30,Pivots!$Y$2:$Y$30)</f>
        <v>5-Mar</v>
      </c>
    </row>
    <row r="294" spans="1:8" x14ac:dyDescent="0.3">
      <c r="A294">
        <v>21</v>
      </c>
      <c r="B294" t="s">
        <v>367</v>
      </c>
      <c r="C294" t="s">
        <v>195</v>
      </c>
      <c r="D294" t="s">
        <v>344</v>
      </c>
      <c r="E294" s="61">
        <v>20000</v>
      </c>
      <c r="F294" s="61">
        <v>0</v>
      </c>
      <c r="G294" s="56" t="str">
        <f>TEXT(TablaGastos[[#This Row],[Orden]],"00")&amp;" "&amp;TablaGastos[[#This Row],[Semana]]</f>
        <v>21 30 Mar 04 Abril</v>
      </c>
      <c r="H294" s="56" t="str">
        <f>_xlfn.XLOOKUP(TablaGastos[[#This Row],[Semana]],Pivots!$U$2:$U$30,Pivots!$Y$2:$Y$30)</f>
        <v>5-Mar</v>
      </c>
    </row>
    <row r="295" spans="1:8" x14ac:dyDescent="0.3">
      <c r="A295">
        <v>21</v>
      </c>
      <c r="B295" t="s">
        <v>367</v>
      </c>
      <c r="C295" t="s">
        <v>210</v>
      </c>
      <c r="D295" t="s">
        <v>344</v>
      </c>
      <c r="E295" s="61">
        <v>0</v>
      </c>
      <c r="F295" s="61">
        <v>50000</v>
      </c>
      <c r="G295" s="56" t="str">
        <f>TEXT(TablaGastos[[#This Row],[Orden]],"00")&amp;" "&amp;TablaGastos[[#This Row],[Semana]]</f>
        <v>21 30 Mar 04 Abril</v>
      </c>
      <c r="H295" s="56" t="str">
        <f>_xlfn.XLOOKUP(TablaGastos[[#This Row],[Semana]],Pivots!$U$2:$U$30,Pivots!$Y$2:$Y$30)</f>
        <v>5-Mar</v>
      </c>
    </row>
    <row r="296" spans="1:8" x14ac:dyDescent="0.3">
      <c r="A296">
        <v>22</v>
      </c>
      <c r="B296" t="s">
        <v>368</v>
      </c>
      <c r="C296" t="s">
        <v>30</v>
      </c>
      <c r="D296" t="s">
        <v>342</v>
      </c>
      <c r="E296" s="61">
        <v>78000</v>
      </c>
      <c r="F296" s="61">
        <v>0</v>
      </c>
      <c r="G296" s="56" t="str">
        <f>TEXT(TablaGastos[[#This Row],[Orden]],"00")&amp;" "&amp;TablaGastos[[#This Row],[Semana]]</f>
        <v>22 06 11 Abril</v>
      </c>
      <c r="H296" s="56" t="str">
        <f>_xlfn.XLOOKUP(TablaGastos[[#This Row],[Semana]],Pivots!$U$2:$U$30,Pivots!$Y$2:$Y$30)</f>
        <v>6-Abr</v>
      </c>
    </row>
    <row r="297" spans="1:8" x14ac:dyDescent="0.3">
      <c r="A297">
        <v>22</v>
      </c>
      <c r="B297" t="s">
        <v>368</v>
      </c>
      <c r="C297" t="s">
        <v>199</v>
      </c>
      <c r="D297" t="s">
        <v>342</v>
      </c>
      <c r="E297" s="61">
        <v>12000</v>
      </c>
      <c r="F297" s="61">
        <v>0</v>
      </c>
      <c r="G297" s="56" t="str">
        <f>TEXT(TablaGastos[[#This Row],[Orden]],"00")&amp;" "&amp;TablaGastos[[#This Row],[Semana]]</f>
        <v>22 06 11 Abril</v>
      </c>
      <c r="H297" s="56" t="str">
        <f>_xlfn.XLOOKUP(TablaGastos[[#This Row],[Semana]],Pivots!$U$2:$U$30,Pivots!$Y$2:$Y$30)</f>
        <v>6-Abr</v>
      </c>
    </row>
    <row r="298" spans="1:8" x14ac:dyDescent="0.3">
      <c r="A298">
        <v>22</v>
      </c>
      <c r="B298" t="s">
        <v>368</v>
      </c>
      <c r="C298" t="s">
        <v>41</v>
      </c>
      <c r="D298" t="s">
        <v>342</v>
      </c>
      <c r="E298" s="61">
        <v>21950</v>
      </c>
      <c r="F298" s="61">
        <v>0</v>
      </c>
      <c r="G298" s="56" t="str">
        <f>TEXT(TablaGastos[[#This Row],[Orden]],"00")&amp;" "&amp;TablaGastos[[#This Row],[Semana]]</f>
        <v>22 06 11 Abril</v>
      </c>
      <c r="H298" s="56" t="str">
        <f>_xlfn.XLOOKUP(TablaGastos[[#This Row],[Semana]],Pivots!$U$2:$U$30,Pivots!$Y$2:$Y$30)</f>
        <v>6-Abr</v>
      </c>
    </row>
    <row r="299" spans="1:8" x14ac:dyDescent="0.3">
      <c r="A299">
        <v>22</v>
      </c>
      <c r="B299" t="s">
        <v>368</v>
      </c>
      <c r="C299" t="s">
        <v>37</v>
      </c>
      <c r="D299" t="s">
        <v>342</v>
      </c>
      <c r="E299" s="61">
        <v>0</v>
      </c>
      <c r="F299" s="61">
        <v>10000</v>
      </c>
      <c r="G299" s="56" t="str">
        <f>TEXT(TablaGastos[[#This Row],[Orden]],"00")&amp;" "&amp;TablaGastos[[#This Row],[Semana]]</f>
        <v>22 06 11 Abril</v>
      </c>
      <c r="H299" s="56" t="str">
        <f>_xlfn.XLOOKUP(TablaGastos[[#This Row],[Semana]],Pivots!$U$2:$U$30,Pivots!$Y$2:$Y$30)</f>
        <v>6-Abr</v>
      </c>
    </row>
    <row r="300" spans="1:8" x14ac:dyDescent="0.3">
      <c r="A300">
        <v>22</v>
      </c>
      <c r="B300" t="s">
        <v>368</v>
      </c>
      <c r="C300" t="s">
        <v>7</v>
      </c>
      <c r="D300" t="s">
        <v>421</v>
      </c>
      <c r="E300" s="61">
        <v>2784</v>
      </c>
      <c r="F300" s="61">
        <v>0</v>
      </c>
      <c r="G300" s="56" t="str">
        <f>TEXT(TablaGastos[[#This Row],[Orden]],"00")&amp;" "&amp;TablaGastos[[#This Row],[Semana]]</f>
        <v>22 06 11 Abril</v>
      </c>
      <c r="H300" s="56" t="str">
        <f>_xlfn.XLOOKUP(TablaGastos[[#This Row],[Semana]],Pivots!$U$2:$U$30,Pivots!$Y$2:$Y$30)</f>
        <v>6-Abr</v>
      </c>
    </row>
    <row r="301" spans="1:8" x14ac:dyDescent="0.3">
      <c r="A301">
        <v>22</v>
      </c>
      <c r="B301" t="s">
        <v>368</v>
      </c>
      <c r="C301" t="s">
        <v>214</v>
      </c>
      <c r="D301" t="s">
        <v>342</v>
      </c>
      <c r="E301" s="61">
        <v>3795.02</v>
      </c>
      <c r="F301" s="61">
        <v>0</v>
      </c>
      <c r="G301" s="56" t="str">
        <f>TEXT(TablaGastos[[#This Row],[Orden]],"00")&amp;" "&amp;TablaGastos[[#This Row],[Semana]]</f>
        <v>22 06 11 Abril</v>
      </c>
      <c r="H301" s="56" t="str">
        <f>_xlfn.XLOOKUP(TablaGastos[[#This Row],[Semana]],Pivots!$U$2:$U$30,Pivots!$Y$2:$Y$30)</f>
        <v>6-Abr</v>
      </c>
    </row>
    <row r="302" spans="1:8" x14ac:dyDescent="0.3">
      <c r="A302">
        <v>22</v>
      </c>
      <c r="B302" t="s">
        <v>368</v>
      </c>
      <c r="C302" t="s">
        <v>107</v>
      </c>
      <c r="D302" t="s">
        <v>421</v>
      </c>
      <c r="E302" s="61">
        <v>4701.8999999999996</v>
      </c>
      <c r="F302" s="61">
        <v>0</v>
      </c>
      <c r="G302" s="56" t="str">
        <f>TEXT(TablaGastos[[#This Row],[Orden]],"00")&amp;" "&amp;TablaGastos[[#This Row],[Semana]]</f>
        <v>22 06 11 Abril</v>
      </c>
      <c r="H302" s="56" t="str">
        <f>_xlfn.XLOOKUP(TablaGastos[[#This Row],[Semana]],Pivots!$U$2:$U$30,Pivots!$Y$2:$Y$30)</f>
        <v>6-Abr</v>
      </c>
    </row>
    <row r="303" spans="1:8" x14ac:dyDescent="0.3">
      <c r="A303">
        <v>22</v>
      </c>
      <c r="B303" t="s">
        <v>368</v>
      </c>
      <c r="C303" t="s">
        <v>170</v>
      </c>
      <c r="D303" t="s">
        <v>422</v>
      </c>
      <c r="E303" s="61">
        <v>0</v>
      </c>
      <c r="F303" s="61">
        <v>61642.400000000001</v>
      </c>
      <c r="G303" s="56" t="str">
        <f>TEXT(TablaGastos[[#This Row],[Orden]],"00")&amp;" "&amp;TablaGastos[[#This Row],[Semana]]</f>
        <v>22 06 11 Abril</v>
      </c>
      <c r="H303" s="56" t="str">
        <f>_xlfn.XLOOKUP(TablaGastos[[#This Row],[Semana]],Pivots!$U$2:$U$30,Pivots!$Y$2:$Y$30)</f>
        <v>6-Abr</v>
      </c>
    </row>
    <row r="304" spans="1:8" x14ac:dyDescent="0.3">
      <c r="A304">
        <v>22</v>
      </c>
      <c r="B304" t="s">
        <v>368</v>
      </c>
      <c r="C304" t="s">
        <v>1</v>
      </c>
      <c r="D304" t="s">
        <v>347</v>
      </c>
      <c r="E304" s="61">
        <v>0</v>
      </c>
      <c r="F304" s="61">
        <v>25000</v>
      </c>
      <c r="G304" s="56" t="str">
        <f>TEXT(TablaGastos[[#This Row],[Orden]],"00")&amp;" "&amp;TablaGastos[[#This Row],[Semana]]</f>
        <v>22 06 11 Abril</v>
      </c>
      <c r="H304" s="56" t="str">
        <f>_xlfn.XLOOKUP(TablaGastos[[#This Row],[Semana]],Pivots!$U$2:$U$30,Pivots!$Y$2:$Y$30)</f>
        <v>6-Abr</v>
      </c>
    </row>
    <row r="305" spans="1:8" x14ac:dyDescent="0.3">
      <c r="A305">
        <v>22</v>
      </c>
      <c r="B305" t="s">
        <v>368</v>
      </c>
      <c r="C305" t="s">
        <v>160</v>
      </c>
      <c r="D305" t="s">
        <v>422</v>
      </c>
      <c r="E305" s="61">
        <v>0</v>
      </c>
      <c r="F305" s="61">
        <v>7250</v>
      </c>
      <c r="G305" s="56" t="str">
        <f>TEXT(TablaGastos[[#This Row],[Orden]],"00")&amp;" "&amp;TablaGastos[[#This Row],[Semana]]</f>
        <v>22 06 11 Abril</v>
      </c>
      <c r="H305" s="56" t="str">
        <f>_xlfn.XLOOKUP(TablaGastos[[#This Row],[Semana]],Pivots!$U$2:$U$30,Pivots!$Y$2:$Y$30)</f>
        <v>6-Abr</v>
      </c>
    </row>
    <row r="306" spans="1:8" x14ac:dyDescent="0.3">
      <c r="A306">
        <v>22</v>
      </c>
      <c r="B306" t="s">
        <v>368</v>
      </c>
      <c r="C306" t="s">
        <v>161</v>
      </c>
      <c r="D306" t="s">
        <v>422</v>
      </c>
      <c r="E306" s="61">
        <v>9135</v>
      </c>
      <c r="F306" s="61">
        <v>0</v>
      </c>
      <c r="G306" s="56" t="str">
        <f>TEXT(TablaGastos[[#This Row],[Orden]],"00")&amp;" "&amp;TablaGastos[[#This Row],[Semana]]</f>
        <v>22 06 11 Abril</v>
      </c>
      <c r="H306" s="56" t="str">
        <f>_xlfn.XLOOKUP(TablaGastos[[#This Row],[Semana]],Pivots!$U$2:$U$30,Pivots!$Y$2:$Y$30)</f>
        <v>6-Abr</v>
      </c>
    </row>
    <row r="307" spans="1:8" x14ac:dyDescent="0.3">
      <c r="A307">
        <v>22</v>
      </c>
      <c r="B307" t="s">
        <v>368</v>
      </c>
      <c r="C307" t="s">
        <v>210</v>
      </c>
      <c r="D307" t="s">
        <v>344</v>
      </c>
      <c r="E307" s="61">
        <v>0</v>
      </c>
      <c r="F307" s="61">
        <v>50000</v>
      </c>
      <c r="G307" s="56" t="str">
        <f>TEXT(TablaGastos[[#This Row],[Orden]],"00")&amp;" "&amp;TablaGastos[[#This Row],[Semana]]</f>
        <v>22 06 11 Abril</v>
      </c>
      <c r="H307" s="56" t="str">
        <f>_xlfn.XLOOKUP(TablaGastos[[#This Row],[Semana]],Pivots!$U$2:$U$30,Pivots!$Y$2:$Y$30)</f>
        <v>6-Abr</v>
      </c>
    </row>
    <row r="308" spans="1:8" x14ac:dyDescent="0.3">
      <c r="A308">
        <v>23</v>
      </c>
      <c r="B308" t="s">
        <v>369</v>
      </c>
      <c r="C308" t="s">
        <v>30</v>
      </c>
      <c r="D308" t="s">
        <v>342</v>
      </c>
      <c r="E308" s="61">
        <v>105000</v>
      </c>
      <c r="F308" s="61">
        <v>0</v>
      </c>
      <c r="G308" s="56" t="str">
        <f>TEXT(TablaGastos[[#This Row],[Orden]],"00")&amp;" "&amp;TablaGastos[[#This Row],[Semana]]</f>
        <v>23 13 18 Abril</v>
      </c>
      <c r="H308" s="56" t="str">
        <f>_xlfn.XLOOKUP(TablaGastos[[#This Row],[Semana]],Pivots!$U$2:$U$30,Pivots!$Y$2:$Y$30)</f>
        <v>6-Abr</v>
      </c>
    </row>
    <row r="309" spans="1:8" x14ac:dyDescent="0.3">
      <c r="A309">
        <v>23</v>
      </c>
      <c r="B309" t="s">
        <v>369</v>
      </c>
      <c r="C309" t="s">
        <v>41</v>
      </c>
      <c r="D309" t="s">
        <v>342</v>
      </c>
      <c r="E309" s="61">
        <v>20000</v>
      </c>
      <c r="F309" s="61">
        <v>0</v>
      </c>
      <c r="G309" s="56" t="str">
        <f>TEXT(TablaGastos[[#This Row],[Orden]],"00")&amp;" "&amp;TablaGastos[[#This Row],[Semana]]</f>
        <v>23 13 18 Abril</v>
      </c>
      <c r="H309" s="56" t="str">
        <f>_xlfn.XLOOKUP(TablaGastos[[#This Row],[Semana]],Pivots!$U$2:$U$30,Pivots!$Y$2:$Y$30)</f>
        <v>6-Abr</v>
      </c>
    </row>
    <row r="310" spans="1:8" x14ac:dyDescent="0.3">
      <c r="A310">
        <v>23</v>
      </c>
      <c r="B310" t="s">
        <v>369</v>
      </c>
      <c r="C310" t="s">
        <v>2</v>
      </c>
      <c r="D310" t="s">
        <v>342</v>
      </c>
      <c r="E310" s="61">
        <v>0</v>
      </c>
      <c r="F310" s="61">
        <v>70000</v>
      </c>
      <c r="G310" s="56" t="str">
        <f>TEXT(TablaGastos[[#This Row],[Orden]],"00")&amp;" "&amp;TablaGastos[[#This Row],[Semana]]</f>
        <v>23 13 18 Abril</v>
      </c>
      <c r="H310" s="56" t="str">
        <f>_xlfn.XLOOKUP(TablaGastos[[#This Row],[Semana]],Pivots!$U$2:$U$30,Pivots!$Y$2:$Y$30)</f>
        <v>6-Abr</v>
      </c>
    </row>
    <row r="311" spans="1:8" x14ac:dyDescent="0.3">
      <c r="A311">
        <v>23</v>
      </c>
      <c r="B311" t="s">
        <v>369</v>
      </c>
      <c r="C311" t="s">
        <v>37</v>
      </c>
      <c r="D311" t="s">
        <v>342</v>
      </c>
      <c r="E311" s="61">
        <v>10000</v>
      </c>
      <c r="F311" s="61">
        <v>0</v>
      </c>
      <c r="G311" s="56" t="str">
        <f>TEXT(TablaGastos[[#This Row],[Orden]],"00")&amp;" "&amp;TablaGastos[[#This Row],[Semana]]</f>
        <v>23 13 18 Abril</v>
      </c>
      <c r="H311" s="56" t="str">
        <f>_xlfn.XLOOKUP(TablaGastos[[#This Row],[Semana]],Pivots!$U$2:$U$30,Pivots!$Y$2:$Y$30)</f>
        <v>6-Abr</v>
      </c>
    </row>
    <row r="312" spans="1:8" x14ac:dyDescent="0.3">
      <c r="A312">
        <v>23</v>
      </c>
      <c r="B312" t="s">
        <v>369</v>
      </c>
      <c r="C312" t="s">
        <v>7</v>
      </c>
      <c r="D312" t="s">
        <v>421</v>
      </c>
      <c r="E312" s="61">
        <v>0</v>
      </c>
      <c r="F312" s="61">
        <v>2784</v>
      </c>
      <c r="G312" s="56" t="str">
        <f>TEXT(TablaGastos[[#This Row],[Orden]],"00")&amp;" "&amp;TablaGastos[[#This Row],[Semana]]</f>
        <v>23 13 18 Abril</v>
      </c>
      <c r="H312" s="56" t="str">
        <f>_xlfn.XLOOKUP(TablaGastos[[#This Row],[Semana]],Pivots!$U$2:$U$30,Pivots!$Y$2:$Y$30)</f>
        <v>6-Abr</v>
      </c>
    </row>
    <row r="313" spans="1:8" x14ac:dyDescent="0.3">
      <c r="A313">
        <v>23</v>
      </c>
      <c r="B313" t="s">
        <v>369</v>
      </c>
      <c r="C313" t="s">
        <v>102</v>
      </c>
      <c r="D313" t="s">
        <v>342</v>
      </c>
      <c r="E313" s="61">
        <v>0</v>
      </c>
      <c r="F313" s="61">
        <v>6970</v>
      </c>
      <c r="G313" s="56" t="str">
        <f>TEXT(TablaGastos[[#This Row],[Orden]],"00")&amp;" "&amp;TablaGastos[[#This Row],[Semana]]</f>
        <v>23 13 18 Abril</v>
      </c>
      <c r="H313" s="56" t="str">
        <f>_xlfn.XLOOKUP(TablaGastos[[#This Row],[Semana]],Pivots!$U$2:$U$30,Pivots!$Y$2:$Y$30)</f>
        <v>6-Abr</v>
      </c>
    </row>
    <row r="314" spans="1:8" x14ac:dyDescent="0.3">
      <c r="A314">
        <v>23</v>
      </c>
      <c r="B314" t="s">
        <v>369</v>
      </c>
      <c r="C314" t="s">
        <v>214</v>
      </c>
      <c r="D314" t="s">
        <v>342</v>
      </c>
      <c r="E314" s="61">
        <v>0</v>
      </c>
      <c r="F314" s="61">
        <v>3795.01</v>
      </c>
      <c r="G314" s="56" t="str">
        <f>TEXT(TablaGastos[[#This Row],[Orden]],"00")&amp;" "&amp;TablaGastos[[#This Row],[Semana]]</f>
        <v>23 13 18 Abril</v>
      </c>
      <c r="H314" s="56" t="str">
        <f>_xlfn.XLOOKUP(TablaGastos[[#This Row],[Semana]],Pivots!$U$2:$U$30,Pivots!$Y$2:$Y$30)</f>
        <v>6-Abr</v>
      </c>
    </row>
    <row r="315" spans="1:8" x14ac:dyDescent="0.3">
      <c r="A315">
        <v>23</v>
      </c>
      <c r="B315" t="s">
        <v>369</v>
      </c>
      <c r="C315" t="s">
        <v>219</v>
      </c>
      <c r="D315" t="s">
        <v>421</v>
      </c>
      <c r="E315" s="61">
        <v>0</v>
      </c>
      <c r="F315" s="61">
        <v>15000</v>
      </c>
      <c r="G315" s="56" t="str">
        <f>TEXT(TablaGastos[[#This Row],[Orden]],"00")&amp;" "&amp;TablaGastos[[#This Row],[Semana]]</f>
        <v>23 13 18 Abril</v>
      </c>
      <c r="H315" s="56" t="str">
        <f>_xlfn.XLOOKUP(TablaGastos[[#This Row],[Semana]],Pivots!$U$2:$U$30,Pivots!$Y$2:$Y$30)</f>
        <v>6-Abr</v>
      </c>
    </row>
    <row r="316" spans="1:8" x14ac:dyDescent="0.3">
      <c r="A316">
        <v>23</v>
      </c>
      <c r="B316" t="s">
        <v>369</v>
      </c>
      <c r="C316" t="s">
        <v>134</v>
      </c>
      <c r="D316" t="s">
        <v>344</v>
      </c>
      <c r="E316" s="61">
        <v>0</v>
      </c>
      <c r="F316" s="61">
        <v>1186.3599999999999</v>
      </c>
      <c r="G316" s="56" t="str">
        <f>TEXT(TablaGastos[[#This Row],[Orden]],"00")&amp;" "&amp;TablaGastos[[#This Row],[Semana]]</f>
        <v>23 13 18 Abril</v>
      </c>
      <c r="H316" s="56" t="str">
        <f>_xlfn.XLOOKUP(TablaGastos[[#This Row],[Semana]],Pivots!$U$2:$U$30,Pivots!$Y$2:$Y$30)</f>
        <v>6-Abr</v>
      </c>
    </row>
    <row r="317" spans="1:8" x14ac:dyDescent="0.3">
      <c r="A317">
        <v>23</v>
      </c>
      <c r="B317" t="s">
        <v>369</v>
      </c>
      <c r="C317" t="s">
        <v>221</v>
      </c>
      <c r="D317" t="s">
        <v>422</v>
      </c>
      <c r="E317" s="61">
        <v>0</v>
      </c>
      <c r="F317" s="61">
        <v>32480</v>
      </c>
      <c r="G317" s="56" t="str">
        <f>TEXT(TablaGastos[[#This Row],[Orden]],"00")&amp;" "&amp;TablaGastos[[#This Row],[Semana]]</f>
        <v>23 13 18 Abril</v>
      </c>
      <c r="H317" s="56" t="str">
        <f>_xlfn.XLOOKUP(TablaGastos[[#This Row],[Semana]],Pivots!$U$2:$U$30,Pivots!$Y$2:$Y$30)</f>
        <v>6-Abr</v>
      </c>
    </row>
    <row r="318" spans="1:8" x14ac:dyDescent="0.3">
      <c r="A318">
        <v>23</v>
      </c>
      <c r="B318" t="s">
        <v>369</v>
      </c>
      <c r="C318" t="s">
        <v>107</v>
      </c>
      <c r="D318" t="s">
        <v>421</v>
      </c>
      <c r="E318" s="61">
        <v>5250</v>
      </c>
      <c r="F318" s="61">
        <v>0</v>
      </c>
      <c r="G318" s="56" t="str">
        <f>TEXT(TablaGastos[[#This Row],[Orden]],"00")&amp;" "&amp;TablaGastos[[#This Row],[Semana]]</f>
        <v>23 13 18 Abril</v>
      </c>
      <c r="H318" s="56" t="str">
        <f>_xlfn.XLOOKUP(TablaGastos[[#This Row],[Semana]],Pivots!$U$2:$U$30,Pivots!$Y$2:$Y$30)</f>
        <v>6-Abr</v>
      </c>
    </row>
    <row r="319" spans="1:8" x14ac:dyDescent="0.3">
      <c r="A319">
        <v>23</v>
      </c>
      <c r="B319" t="s">
        <v>369</v>
      </c>
      <c r="C319" t="s">
        <v>175</v>
      </c>
      <c r="D319" t="s">
        <v>422</v>
      </c>
      <c r="E319" s="61">
        <v>0</v>
      </c>
      <c r="F319" s="61">
        <v>3970.21</v>
      </c>
      <c r="G319" s="56" t="str">
        <f>TEXT(TablaGastos[[#This Row],[Orden]],"00")&amp;" "&amp;TablaGastos[[#This Row],[Semana]]</f>
        <v>23 13 18 Abril</v>
      </c>
      <c r="H319" s="56" t="str">
        <f>_xlfn.XLOOKUP(TablaGastos[[#This Row],[Semana]],Pivots!$U$2:$U$30,Pivots!$Y$2:$Y$30)</f>
        <v>6-Abr</v>
      </c>
    </row>
    <row r="320" spans="1:8" x14ac:dyDescent="0.3">
      <c r="A320">
        <v>23</v>
      </c>
      <c r="B320" t="s">
        <v>369</v>
      </c>
      <c r="C320" t="s">
        <v>194</v>
      </c>
      <c r="D320" t="s">
        <v>422</v>
      </c>
      <c r="E320" s="61">
        <v>0</v>
      </c>
      <c r="F320" s="61">
        <v>15370</v>
      </c>
      <c r="G320" s="56" t="str">
        <f>TEXT(TablaGastos[[#This Row],[Orden]],"00")&amp;" "&amp;TablaGastos[[#This Row],[Semana]]</f>
        <v>23 13 18 Abril</v>
      </c>
      <c r="H320" s="56" t="str">
        <f>_xlfn.XLOOKUP(TablaGastos[[#This Row],[Semana]],Pivots!$U$2:$U$30,Pivots!$Y$2:$Y$30)</f>
        <v>6-Abr</v>
      </c>
    </row>
    <row r="321" spans="1:8" x14ac:dyDescent="0.3">
      <c r="A321">
        <v>23</v>
      </c>
      <c r="B321" t="s">
        <v>369</v>
      </c>
      <c r="C321" t="s">
        <v>194</v>
      </c>
      <c r="D321" t="s">
        <v>422</v>
      </c>
      <c r="E321" s="61">
        <v>0</v>
      </c>
      <c r="F321" s="61">
        <v>15370</v>
      </c>
      <c r="G321" s="56" t="str">
        <f>TEXT(TablaGastos[[#This Row],[Orden]],"00")&amp;" "&amp;TablaGastos[[#This Row],[Semana]]</f>
        <v>23 13 18 Abril</v>
      </c>
      <c r="H321" s="56" t="str">
        <f>_xlfn.XLOOKUP(TablaGastos[[#This Row],[Semana]],Pivots!$U$2:$U$30,Pivots!$Y$2:$Y$30)</f>
        <v>6-Abr</v>
      </c>
    </row>
    <row r="322" spans="1:8" x14ac:dyDescent="0.3">
      <c r="A322">
        <v>23</v>
      </c>
      <c r="B322" t="s">
        <v>369</v>
      </c>
      <c r="C322" t="s">
        <v>222</v>
      </c>
      <c r="D322" t="s">
        <v>422</v>
      </c>
      <c r="E322" s="61">
        <v>30000</v>
      </c>
      <c r="F322" s="61">
        <v>61642.400000000001</v>
      </c>
      <c r="G322" s="56" t="str">
        <f>TEXT(TablaGastos[[#This Row],[Orden]],"00")&amp;" "&amp;TablaGastos[[#This Row],[Semana]]</f>
        <v>23 13 18 Abril</v>
      </c>
      <c r="H322" s="56" t="str">
        <f>_xlfn.XLOOKUP(TablaGastos[[#This Row],[Semana]],Pivots!$U$2:$U$30,Pivots!$Y$2:$Y$30)</f>
        <v>6-Abr</v>
      </c>
    </row>
    <row r="323" spans="1:8" x14ac:dyDescent="0.3">
      <c r="A323">
        <v>23</v>
      </c>
      <c r="B323" t="s">
        <v>369</v>
      </c>
      <c r="C323" t="s">
        <v>132</v>
      </c>
      <c r="D323" t="s">
        <v>421</v>
      </c>
      <c r="E323" s="61">
        <v>0</v>
      </c>
      <c r="F323" s="61">
        <v>4750.2</v>
      </c>
      <c r="G323" s="56" t="str">
        <f>TEXT(TablaGastos[[#This Row],[Orden]],"00")&amp;" "&amp;TablaGastos[[#This Row],[Semana]]</f>
        <v>23 13 18 Abril</v>
      </c>
      <c r="H323" s="56" t="str">
        <f>_xlfn.XLOOKUP(TablaGastos[[#This Row],[Semana]],Pivots!$U$2:$U$30,Pivots!$Y$2:$Y$30)</f>
        <v>6-Abr</v>
      </c>
    </row>
    <row r="324" spans="1:8" x14ac:dyDescent="0.3">
      <c r="A324">
        <v>23</v>
      </c>
      <c r="B324" t="s">
        <v>369</v>
      </c>
      <c r="C324" t="s">
        <v>223</v>
      </c>
      <c r="D324" t="s">
        <v>347</v>
      </c>
      <c r="E324" s="61">
        <v>9676.4500000000007</v>
      </c>
      <c r="F324" s="61">
        <v>0</v>
      </c>
      <c r="G324" s="56" t="str">
        <f>TEXT(TablaGastos[[#This Row],[Orden]],"00")&amp;" "&amp;TablaGastos[[#This Row],[Semana]]</f>
        <v>23 13 18 Abril</v>
      </c>
      <c r="H324" s="56" t="str">
        <f>_xlfn.XLOOKUP(TablaGastos[[#This Row],[Semana]],Pivots!$U$2:$U$30,Pivots!$Y$2:$Y$30)</f>
        <v>6-Abr</v>
      </c>
    </row>
    <row r="325" spans="1:8" x14ac:dyDescent="0.3">
      <c r="A325">
        <v>23</v>
      </c>
      <c r="B325" t="s">
        <v>369</v>
      </c>
      <c r="C325" t="s">
        <v>11</v>
      </c>
      <c r="D325" t="s">
        <v>347</v>
      </c>
      <c r="E325" s="61">
        <v>12652.68</v>
      </c>
      <c r="F325" s="61">
        <v>0</v>
      </c>
      <c r="G325" s="56" t="str">
        <f>TEXT(TablaGastos[[#This Row],[Orden]],"00")&amp;" "&amp;TablaGastos[[#This Row],[Semana]]</f>
        <v>23 13 18 Abril</v>
      </c>
      <c r="H325" s="56" t="str">
        <f>_xlfn.XLOOKUP(TablaGastos[[#This Row],[Semana]],Pivots!$U$2:$U$30,Pivots!$Y$2:$Y$30)</f>
        <v>6-Abr</v>
      </c>
    </row>
    <row r="326" spans="1:8" x14ac:dyDescent="0.3">
      <c r="A326">
        <v>23</v>
      </c>
      <c r="B326" t="s">
        <v>369</v>
      </c>
      <c r="C326" t="s">
        <v>160</v>
      </c>
      <c r="D326" t="s">
        <v>422</v>
      </c>
      <c r="E326" s="61">
        <v>0</v>
      </c>
      <c r="F326" s="61">
        <v>7250</v>
      </c>
      <c r="G326" s="56" t="str">
        <f>TEXT(TablaGastos[[#This Row],[Orden]],"00")&amp;" "&amp;TablaGastos[[#This Row],[Semana]]</f>
        <v>23 13 18 Abril</v>
      </c>
      <c r="H326" s="56" t="str">
        <f>_xlfn.XLOOKUP(TablaGastos[[#This Row],[Semana]],Pivots!$U$2:$U$30,Pivots!$Y$2:$Y$30)</f>
        <v>6-Abr</v>
      </c>
    </row>
    <row r="327" spans="1:8" x14ac:dyDescent="0.3">
      <c r="A327">
        <v>23</v>
      </c>
      <c r="B327" t="s">
        <v>369</v>
      </c>
      <c r="C327" t="s">
        <v>161</v>
      </c>
      <c r="D327" t="s">
        <v>422</v>
      </c>
      <c r="E327" s="61">
        <v>18270</v>
      </c>
      <c r="F327" s="61">
        <v>9135</v>
      </c>
      <c r="G327" s="56" t="str">
        <f>TEXT(TablaGastos[[#This Row],[Orden]],"00")&amp;" "&amp;TablaGastos[[#This Row],[Semana]]</f>
        <v>23 13 18 Abril</v>
      </c>
      <c r="H327" s="56" t="str">
        <f>_xlfn.XLOOKUP(TablaGastos[[#This Row],[Semana]],Pivots!$U$2:$U$30,Pivots!$Y$2:$Y$30)</f>
        <v>6-Abr</v>
      </c>
    </row>
    <row r="328" spans="1:8" x14ac:dyDescent="0.3">
      <c r="A328">
        <v>23</v>
      </c>
      <c r="B328" t="s">
        <v>369</v>
      </c>
      <c r="C328" t="s">
        <v>225</v>
      </c>
      <c r="D328" t="s">
        <v>347</v>
      </c>
      <c r="E328" s="61">
        <v>0</v>
      </c>
      <c r="F328" s="61">
        <v>32000</v>
      </c>
      <c r="G328" s="56" t="str">
        <f>TEXT(TablaGastos[[#This Row],[Orden]],"00")&amp;" "&amp;TablaGastos[[#This Row],[Semana]]</f>
        <v>23 13 18 Abril</v>
      </c>
      <c r="H328" s="56" t="str">
        <f>_xlfn.XLOOKUP(TablaGastos[[#This Row],[Semana]],Pivots!$U$2:$U$30,Pivots!$Y$2:$Y$30)</f>
        <v>6-Abr</v>
      </c>
    </row>
    <row r="329" spans="1:8" x14ac:dyDescent="0.3">
      <c r="A329">
        <v>24</v>
      </c>
      <c r="B329" t="s">
        <v>370</v>
      </c>
      <c r="C329" t="s">
        <v>30</v>
      </c>
      <c r="D329" t="s">
        <v>342</v>
      </c>
      <c r="E329" s="61">
        <v>110000</v>
      </c>
      <c r="F329" s="61">
        <v>0</v>
      </c>
      <c r="G329" s="56" t="str">
        <f>TEXT(TablaGastos[[#This Row],[Orden]],"00")&amp;" "&amp;TablaGastos[[#This Row],[Semana]]</f>
        <v>24 20 25 Abril</v>
      </c>
      <c r="H329" s="56" t="str">
        <f>_xlfn.XLOOKUP(TablaGastos[[#This Row],[Semana]],Pivots!$U$2:$U$30,Pivots!$Y$2:$Y$30)</f>
        <v>6-Abr</v>
      </c>
    </row>
    <row r="330" spans="1:8" x14ac:dyDescent="0.3">
      <c r="A330">
        <v>24</v>
      </c>
      <c r="B330" t="s">
        <v>370</v>
      </c>
      <c r="C330" t="s">
        <v>41</v>
      </c>
      <c r="D330" t="s">
        <v>342</v>
      </c>
      <c r="E330" s="61">
        <v>31050</v>
      </c>
      <c r="F330" s="61">
        <v>0</v>
      </c>
      <c r="G330" s="56" t="str">
        <f>TEXT(TablaGastos[[#This Row],[Orden]],"00")&amp;" "&amp;TablaGastos[[#This Row],[Semana]]</f>
        <v>24 20 25 Abril</v>
      </c>
      <c r="H330" s="56" t="str">
        <f>_xlfn.XLOOKUP(TablaGastos[[#This Row],[Semana]],Pivots!$U$2:$U$30,Pivots!$Y$2:$Y$30)</f>
        <v>6-Abr</v>
      </c>
    </row>
    <row r="331" spans="1:8" x14ac:dyDescent="0.3">
      <c r="A331">
        <v>24</v>
      </c>
      <c r="B331" t="s">
        <v>370</v>
      </c>
      <c r="C331" t="s">
        <v>2</v>
      </c>
      <c r="D331" t="s">
        <v>342</v>
      </c>
      <c r="E331" s="61">
        <v>40426.65</v>
      </c>
      <c r="F331" s="61">
        <v>0</v>
      </c>
      <c r="G331" s="56" t="str">
        <f>TEXT(TablaGastos[[#This Row],[Orden]],"00")&amp;" "&amp;TablaGastos[[#This Row],[Semana]]</f>
        <v>24 20 25 Abril</v>
      </c>
      <c r="H331" s="56" t="str">
        <f>_xlfn.XLOOKUP(TablaGastos[[#This Row],[Semana]],Pivots!$U$2:$U$30,Pivots!$Y$2:$Y$30)</f>
        <v>6-Abr</v>
      </c>
    </row>
    <row r="332" spans="1:8" x14ac:dyDescent="0.3">
      <c r="A332">
        <v>24</v>
      </c>
      <c r="B332" t="s">
        <v>370</v>
      </c>
      <c r="C332" t="s">
        <v>188</v>
      </c>
      <c r="D332" t="s">
        <v>422</v>
      </c>
      <c r="E332" s="61">
        <v>13310.12</v>
      </c>
      <c r="F332" s="61">
        <v>0</v>
      </c>
      <c r="G332" s="56" t="str">
        <f>TEXT(TablaGastos[[#This Row],[Orden]],"00")&amp;" "&amp;TablaGastos[[#This Row],[Semana]]</f>
        <v>24 20 25 Abril</v>
      </c>
      <c r="H332" s="56" t="str">
        <f>_xlfn.XLOOKUP(TablaGastos[[#This Row],[Semana]],Pivots!$U$2:$U$30,Pivots!$Y$2:$Y$30)</f>
        <v>6-Abr</v>
      </c>
    </row>
    <row r="333" spans="1:8" x14ac:dyDescent="0.3">
      <c r="A333">
        <v>24</v>
      </c>
      <c r="B333" t="s">
        <v>370</v>
      </c>
      <c r="C333" t="s">
        <v>37</v>
      </c>
      <c r="D333" t="s">
        <v>342</v>
      </c>
      <c r="E333" s="61">
        <v>0</v>
      </c>
      <c r="F333" s="61">
        <v>10000</v>
      </c>
      <c r="G333" s="56" t="str">
        <f>TEXT(TablaGastos[[#This Row],[Orden]],"00")&amp;" "&amp;TablaGastos[[#This Row],[Semana]]</f>
        <v>24 20 25 Abril</v>
      </c>
      <c r="H333" s="56" t="str">
        <f>_xlfn.XLOOKUP(TablaGastos[[#This Row],[Semana]],Pivots!$U$2:$U$30,Pivots!$Y$2:$Y$30)</f>
        <v>6-Abr</v>
      </c>
    </row>
    <row r="334" spans="1:8" x14ac:dyDescent="0.3">
      <c r="A334">
        <v>24</v>
      </c>
      <c r="B334" t="s">
        <v>370</v>
      </c>
      <c r="C334" t="s">
        <v>7</v>
      </c>
      <c r="D334" t="s">
        <v>421</v>
      </c>
      <c r="E334" s="61">
        <v>0</v>
      </c>
      <c r="F334" s="61">
        <v>2784</v>
      </c>
      <c r="G334" s="56" t="str">
        <f>TEXT(TablaGastos[[#This Row],[Orden]],"00")&amp;" "&amp;TablaGastos[[#This Row],[Semana]]</f>
        <v>24 20 25 Abril</v>
      </c>
      <c r="H334" s="56" t="str">
        <f>_xlfn.XLOOKUP(TablaGastos[[#This Row],[Semana]],Pivots!$U$2:$U$30,Pivots!$Y$2:$Y$30)</f>
        <v>6-Abr</v>
      </c>
    </row>
    <row r="335" spans="1:8" x14ac:dyDescent="0.3">
      <c r="A335">
        <v>24</v>
      </c>
      <c r="B335" t="s">
        <v>370</v>
      </c>
      <c r="C335" t="s">
        <v>214</v>
      </c>
      <c r="D335" t="s">
        <v>342</v>
      </c>
      <c r="E335" s="61">
        <v>0</v>
      </c>
      <c r="F335" s="61">
        <v>3795.01</v>
      </c>
      <c r="G335" s="56" t="str">
        <f>TEXT(TablaGastos[[#This Row],[Orden]],"00")&amp;" "&amp;TablaGastos[[#This Row],[Semana]]</f>
        <v>24 20 25 Abril</v>
      </c>
      <c r="H335" s="56" t="str">
        <f>_xlfn.XLOOKUP(TablaGastos[[#This Row],[Semana]],Pivots!$U$2:$U$30,Pivots!$Y$2:$Y$30)</f>
        <v>6-Abr</v>
      </c>
    </row>
    <row r="336" spans="1:8" x14ac:dyDescent="0.3">
      <c r="A336">
        <v>24</v>
      </c>
      <c r="B336" t="s">
        <v>370</v>
      </c>
      <c r="C336" t="s">
        <v>219</v>
      </c>
      <c r="D336" t="s">
        <v>421</v>
      </c>
      <c r="E336" s="61">
        <v>0</v>
      </c>
      <c r="F336" s="61">
        <v>15000</v>
      </c>
      <c r="G336" s="56" t="str">
        <f>TEXT(TablaGastos[[#This Row],[Orden]],"00")&amp;" "&amp;TablaGastos[[#This Row],[Semana]]</f>
        <v>24 20 25 Abril</v>
      </c>
      <c r="H336" s="56" t="str">
        <f>_xlfn.XLOOKUP(TablaGastos[[#This Row],[Semana]],Pivots!$U$2:$U$30,Pivots!$Y$2:$Y$30)</f>
        <v>6-Abr</v>
      </c>
    </row>
    <row r="337" spans="1:8" x14ac:dyDescent="0.3">
      <c r="A337">
        <v>24</v>
      </c>
      <c r="B337" t="s">
        <v>370</v>
      </c>
      <c r="C337" t="s">
        <v>134</v>
      </c>
      <c r="D337" t="s">
        <v>344</v>
      </c>
      <c r="E337" s="61">
        <v>1441.56</v>
      </c>
      <c r="F337" s="61">
        <v>0</v>
      </c>
      <c r="G337" s="56" t="str">
        <f>TEXT(TablaGastos[[#This Row],[Orden]],"00")&amp;" "&amp;TablaGastos[[#This Row],[Semana]]</f>
        <v>24 20 25 Abril</v>
      </c>
      <c r="H337" s="56" t="str">
        <f>_xlfn.XLOOKUP(TablaGastos[[#This Row],[Semana]],Pivots!$U$2:$U$30,Pivots!$Y$2:$Y$30)</f>
        <v>6-Abr</v>
      </c>
    </row>
    <row r="338" spans="1:8" x14ac:dyDescent="0.3">
      <c r="A338">
        <v>24</v>
      </c>
      <c r="B338" t="s">
        <v>370</v>
      </c>
      <c r="C338" t="s">
        <v>107</v>
      </c>
      <c r="D338" t="s">
        <v>421</v>
      </c>
      <c r="E338" s="61">
        <v>13727.7</v>
      </c>
      <c r="F338" s="61">
        <v>0</v>
      </c>
      <c r="G338" s="56" t="str">
        <f>TEXT(TablaGastos[[#This Row],[Orden]],"00")&amp;" "&amp;TablaGastos[[#This Row],[Semana]]</f>
        <v>24 20 25 Abril</v>
      </c>
      <c r="H338" s="56" t="str">
        <f>_xlfn.XLOOKUP(TablaGastos[[#This Row],[Semana]],Pivots!$U$2:$U$30,Pivots!$Y$2:$Y$30)</f>
        <v>6-Abr</v>
      </c>
    </row>
    <row r="339" spans="1:8" x14ac:dyDescent="0.3">
      <c r="A339">
        <v>24</v>
      </c>
      <c r="B339" t="s">
        <v>370</v>
      </c>
      <c r="C339" t="s">
        <v>175</v>
      </c>
      <c r="D339" t="s">
        <v>422</v>
      </c>
      <c r="E339" s="61">
        <v>0</v>
      </c>
      <c r="F339" s="61">
        <v>3970.21</v>
      </c>
      <c r="G339" s="56" t="str">
        <f>TEXT(TablaGastos[[#This Row],[Orden]],"00")&amp;" "&amp;TablaGastos[[#This Row],[Semana]]</f>
        <v>24 20 25 Abril</v>
      </c>
      <c r="H339" s="56" t="str">
        <f>_xlfn.XLOOKUP(TablaGastos[[#This Row],[Semana]],Pivots!$U$2:$U$30,Pivots!$Y$2:$Y$30)</f>
        <v>6-Abr</v>
      </c>
    </row>
    <row r="340" spans="1:8" x14ac:dyDescent="0.3">
      <c r="A340">
        <v>24</v>
      </c>
      <c r="B340" t="s">
        <v>370</v>
      </c>
      <c r="C340" t="s">
        <v>194</v>
      </c>
      <c r="D340" t="s">
        <v>422</v>
      </c>
      <c r="E340" s="61">
        <v>0</v>
      </c>
      <c r="F340" s="61">
        <v>15370</v>
      </c>
      <c r="G340" s="56" t="str">
        <f>TEXT(TablaGastos[[#This Row],[Orden]],"00")&amp;" "&amp;TablaGastos[[#This Row],[Semana]]</f>
        <v>24 20 25 Abril</v>
      </c>
      <c r="H340" s="56" t="str">
        <f>_xlfn.XLOOKUP(TablaGastos[[#This Row],[Semana]],Pivots!$U$2:$U$30,Pivots!$Y$2:$Y$30)</f>
        <v>6-Abr</v>
      </c>
    </row>
    <row r="341" spans="1:8" x14ac:dyDescent="0.3">
      <c r="A341">
        <v>24</v>
      </c>
      <c r="B341" t="s">
        <v>370</v>
      </c>
      <c r="C341" t="s">
        <v>222</v>
      </c>
      <c r="D341" t="s">
        <v>422</v>
      </c>
      <c r="E341" s="61">
        <v>31642.400000000001</v>
      </c>
      <c r="F341" s="61">
        <v>0</v>
      </c>
      <c r="G341" s="56" t="str">
        <f>TEXT(TablaGastos[[#This Row],[Orden]],"00")&amp;" "&amp;TablaGastos[[#This Row],[Semana]]</f>
        <v>24 20 25 Abril</v>
      </c>
      <c r="H341" s="56" t="str">
        <f>_xlfn.XLOOKUP(TablaGastos[[#This Row],[Semana]],Pivots!$U$2:$U$30,Pivots!$Y$2:$Y$30)</f>
        <v>6-Abr</v>
      </c>
    </row>
    <row r="342" spans="1:8" x14ac:dyDescent="0.3">
      <c r="A342">
        <v>24</v>
      </c>
      <c r="B342" t="s">
        <v>370</v>
      </c>
      <c r="C342" t="s">
        <v>132</v>
      </c>
      <c r="D342" t="s">
        <v>421</v>
      </c>
      <c r="E342" s="61">
        <v>0</v>
      </c>
      <c r="F342" s="61">
        <v>4750.2</v>
      </c>
      <c r="G342" s="56" t="str">
        <f>TEXT(TablaGastos[[#This Row],[Orden]],"00")&amp;" "&amp;TablaGastos[[#This Row],[Semana]]</f>
        <v>24 20 25 Abril</v>
      </c>
      <c r="H342" s="56" t="str">
        <f>_xlfn.XLOOKUP(TablaGastos[[#This Row],[Semana]],Pivots!$U$2:$U$30,Pivots!$Y$2:$Y$30)</f>
        <v>6-Abr</v>
      </c>
    </row>
    <row r="343" spans="1:8" x14ac:dyDescent="0.3">
      <c r="A343">
        <v>24</v>
      </c>
      <c r="B343" t="s">
        <v>370</v>
      </c>
      <c r="C343" t="s">
        <v>11</v>
      </c>
      <c r="D343" t="s">
        <v>347</v>
      </c>
      <c r="E343" s="61">
        <v>20000</v>
      </c>
      <c r="F343" s="61">
        <v>0</v>
      </c>
      <c r="G343" s="56" t="str">
        <f>TEXT(TablaGastos[[#This Row],[Orden]],"00")&amp;" "&amp;TablaGastos[[#This Row],[Semana]]</f>
        <v>24 20 25 Abril</v>
      </c>
      <c r="H343" s="56" t="str">
        <f>_xlfn.XLOOKUP(TablaGastos[[#This Row],[Semana]],Pivots!$U$2:$U$30,Pivots!$Y$2:$Y$30)</f>
        <v>6-Abr</v>
      </c>
    </row>
    <row r="344" spans="1:8" x14ac:dyDescent="0.3">
      <c r="A344">
        <v>24</v>
      </c>
      <c r="B344" t="s">
        <v>370</v>
      </c>
      <c r="C344" t="s">
        <v>160</v>
      </c>
      <c r="D344" t="s">
        <v>422</v>
      </c>
      <c r="E344" s="61">
        <v>18000</v>
      </c>
      <c r="F344" s="61">
        <v>0</v>
      </c>
      <c r="G344" s="56" t="str">
        <f>TEXT(TablaGastos[[#This Row],[Orden]],"00")&amp;" "&amp;TablaGastos[[#This Row],[Semana]]</f>
        <v>24 20 25 Abril</v>
      </c>
      <c r="H344" s="56" t="str">
        <f>_xlfn.XLOOKUP(TablaGastos[[#This Row],[Semana]],Pivots!$U$2:$U$30,Pivots!$Y$2:$Y$30)</f>
        <v>6-Abr</v>
      </c>
    </row>
    <row r="345" spans="1:8" x14ac:dyDescent="0.3">
      <c r="A345">
        <v>24</v>
      </c>
      <c r="B345" t="s">
        <v>370</v>
      </c>
      <c r="C345" t="s">
        <v>161</v>
      </c>
      <c r="D345" t="s">
        <v>422</v>
      </c>
      <c r="E345" s="61">
        <v>28739</v>
      </c>
      <c r="F345" s="61">
        <v>0</v>
      </c>
      <c r="G345" s="56" t="str">
        <f>TEXT(TablaGastos[[#This Row],[Orden]],"00")&amp;" "&amp;TablaGastos[[#This Row],[Semana]]</f>
        <v>24 20 25 Abril</v>
      </c>
      <c r="H345" s="56" t="str">
        <f>_xlfn.XLOOKUP(TablaGastos[[#This Row],[Semana]],Pivots!$U$2:$U$30,Pivots!$Y$2:$Y$30)</f>
        <v>6-Abr</v>
      </c>
    </row>
    <row r="346" spans="1:8" x14ac:dyDescent="0.3">
      <c r="A346">
        <v>24</v>
      </c>
      <c r="B346" t="s">
        <v>370</v>
      </c>
      <c r="C346" t="s">
        <v>161</v>
      </c>
      <c r="D346" t="s">
        <v>422</v>
      </c>
      <c r="E346" s="61">
        <v>9802</v>
      </c>
      <c r="F346" s="61">
        <v>0</v>
      </c>
      <c r="G346" s="56" t="str">
        <f>TEXT(TablaGastos[[#This Row],[Orden]],"00")&amp;" "&amp;TablaGastos[[#This Row],[Semana]]</f>
        <v>24 20 25 Abril</v>
      </c>
      <c r="H346" s="56" t="str">
        <f>_xlfn.XLOOKUP(TablaGastos[[#This Row],[Semana]],Pivots!$U$2:$U$30,Pivots!$Y$2:$Y$30)</f>
        <v>6-Abr</v>
      </c>
    </row>
    <row r="347" spans="1:8" x14ac:dyDescent="0.3">
      <c r="A347">
        <v>24</v>
      </c>
      <c r="B347" t="s">
        <v>370</v>
      </c>
      <c r="C347" t="s">
        <v>241</v>
      </c>
      <c r="D347" t="s">
        <v>421</v>
      </c>
      <c r="E347" s="61">
        <v>2277.13</v>
      </c>
      <c r="F347" s="61">
        <v>0</v>
      </c>
      <c r="G347" s="56" t="str">
        <f>TEXT(TablaGastos[[#This Row],[Orden]],"00")&amp;" "&amp;TablaGastos[[#This Row],[Semana]]</f>
        <v>24 20 25 Abril</v>
      </c>
      <c r="H347" s="56" t="str">
        <f>_xlfn.XLOOKUP(TablaGastos[[#This Row],[Semana]],Pivots!$U$2:$U$30,Pivots!$Y$2:$Y$30)</f>
        <v>6-Abr</v>
      </c>
    </row>
    <row r="348" spans="1:8" x14ac:dyDescent="0.3">
      <c r="A348">
        <v>24</v>
      </c>
      <c r="B348" t="s">
        <v>370</v>
      </c>
      <c r="C348" t="s">
        <v>242</v>
      </c>
      <c r="D348" t="s">
        <v>344</v>
      </c>
      <c r="E348" s="61">
        <v>3888</v>
      </c>
      <c r="F348" s="61">
        <v>0</v>
      </c>
      <c r="G348" s="56" t="str">
        <f>TEXT(TablaGastos[[#This Row],[Orden]],"00")&amp;" "&amp;TablaGastos[[#This Row],[Semana]]</f>
        <v>24 20 25 Abril</v>
      </c>
      <c r="H348" s="56" t="str">
        <f>_xlfn.XLOOKUP(TablaGastos[[#This Row],[Semana]],Pivots!$U$2:$U$30,Pivots!$Y$2:$Y$30)</f>
        <v>6-Abr</v>
      </c>
    </row>
    <row r="349" spans="1:8" x14ac:dyDescent="0.3">
      <c r="A349">
        <v>24</v>
      </c>
      <c r="B349" t="s">
        <v>370</v>
      </c>
      <c r="C349" t="s">
        <v>32</v>
      </c>
      <c r="D349" t="s">
        <v>342</v>
      </c>
      <c r="E349" s="61">
        <v>85800</v>
      </c>
      <c r="F349" s="61">
        <v>0</v>
      </c>
      <c r="G349" s="56" t="str">
        <f>TEXT(TablaGastos[[#This Row],[Orden]],"00")&amp;" "&amp;TablaGastos[[#This Row],[Semana]]</f>
        <v>24 20 25 Abril</v>
      </c>
      <c r="H349" s="56" t="str">
        <f>_xlfn.XLOOKUP(TablaGastos[[#This Row],[Semana]],Pivots!$U$2:$U$30,Pivots!$Y$2:$Y$30)</f>
        <v>6-Abr</v>
      </c>
    </row>
    <row r="350" spans="1:8" x14ac:dyDescent="0.3">
      <c r="A350">
        <v>24</v>
      </c>
      <c r="B350" t="s">
        <v>370</v>
      </c>
      <c r="C350" t="s">
        <v>32</v>
      </c>
      <c r="D350" t="s">
        <v>342</v>
      </c>
      <c r="E350" s="61">
        <v>100000</v>
      </c>
      <c r="F350" s="61">
        <v>0</v>
      </c>
      <c r="G350" s="56" t="str">
        <f>TEXT(TablaGastos[[#This Row],[Orden]],"00")&amp;" "&amp;TablaGastos[[#This Row],[Semana]]</f>
        <v>24 20 25 Abril</v>
      </c>
      <c r="H350" s="56" t="str">
        <f>_xlfn.XLOOKUP(TablaGastos[[#This Row],[Semana]],Pivots!$U$2:$U$30,Pivots!$Y$2:$Y$30)</f>
        <v>6-Abr</v>
      </c>
    </row>
    <row r="351" spans="1:8" x14ac:dyDescent="0.3">
      <c r="A351">
        <v>24</v>
      </c>
      <c r="B351" t="s">
        <v>370</v>
      </c>
      <c r="C351" t="s">
        <v>243</v>
      </c>
      <c r="D351" t="s">
        <v>342</v>
      </c>
      <c r="E351" s="61">
        <v>12424.75</v>
      </c>
      <c r="F351" s="61">
        <v>0</v>
      </c>
      <c r="G351" s="56" t="str">
        <f>TEXT(TablaGastos[[#This Row],[Orden]],"00")&amp;" "&amp;TablaGastos[[#This Row],[Semana]]</f>
        <v>24 20 25 Abril</v>
      </c>
      <c r="H351" s="56" t="str">
        <f>_xlfn.XLOOKUP(TablaGastos[[#This Row],[Semana]],Pivots!$U$2:$U$30,Pivots!$Y$2:$Y$30)</f>
        <v>6-Abr</v>
      </c>
    </row>
    <row r="352" spans="1:8" x14ac:dyDescent="0.3">
      <c r="A352">
        <v>24</v>
      </c>
      <c r="B352" t="s">
        <v>370</v>
      </c>
      <c r="C352" t="s">
        <v>244</v>
      </c>
      <c r="D352" t="s">
        <v>343</v>
      </c>
      <c r="E352" s="61">
        <v>18768</v>
      </c>
      <c r="F352" s="61">
        <v>0</v>
      </c>
      <c r="G352" s="56" t="str">
        <f>TEXT(TablaGastos[[#This Row],[Orden]],"00")&amp;" "&amp;TablaGastos[[#This Row],[Semana]]</f>
        <v>24 20 25 Abril</v>
      </c>
      <c r="H352" s="56" t="str">
        <f>_xlfn.XLOOKUP(TablaGastos[[#This Row],[Semana]],Pivots!$U$2:$U$30,Pivots!$Y$2:$Y$30)</f>
        <v>6-Abr</v>
      </c>
    </row>
    <row r="353" spans="1:8" x14ac:dyDescent="0.3">
      <c r="A353">
        <v>25</v>
      </c>
      <c r="B353" t="s">
        <v>371</v>
      </c>
      <c r="C353" t="s">
        <v>30</v>
      </c>
      <c r="D353" t="s">
        <v>342</v>
      </c>
      <c r="E353" s="61">
        <v>110000</v>
      </c>
      <c r="F353" s="61">
        <v>0</v>
      </c>
      <c r="G353" s="56" t="str">
        <f>TEXT(TablaGastos[[#This Row],[Orden]],"00")&amp;" "&amp;TablaGastos[[#This Row],[Semana]]</f>
        <v>25 27 Abril 02 Mayo</v>
      </c>
      <c r="H353" s="56" t="str">
        <f>_xlfn.XLOOKUP(TablaGastos[[#This Row],[Semana]],Pivots!$U$2:$U$30,Pivots!$Y$2:$Y$30)</f>
        <v>6-Abr</v>
      </c>
    </row>
    <row r="354" spans="1:8" x14ac:dyDescent="0.3">
      <c r="A354">
        <v>25</v>
      </c>
      <c r="B354" t="s">
        <v>371</v>
      </c>
      <c r="C354" t="s">
        <v>248</v>
      </c>
      <c r="D354" t="s">
        <v>342</v>
      </c>
      <c r="E354" s="61">
        <v>10000</v>
      </c>
      <c r="F354" s="61">
        <v>0</v>
      </c>
      <c r="G354" s="56" t="str">
        <f>TEXT(TablaGastos[[#This Row],[Orden]],"00")&amp;" "&amp;TablaGastos[[#This Row],[Semana]]</f>
        <v>25 27 Abril 02 Mayo</v>
      </c>
      <c r="H354" s="56" t="str">
        <f>_xlfn.XLOOKUP(TablaGastos[[#This Row],[Semana]],Pivots!$U$2:$U$30,Pivots!$Y$2:$Y$30)</f>
        <v>6-Abr</v>
      </c>
    </row>
    <row r="355" spans="1:8" x14ac:dyDescent="0.3">
      <c r="A355">
        <v>25</v>
      </c>
      <c r="B355" t="s">
        <v>371</v>
      </c>
      <c r="C355" t="s">
        <v>250</v>
      </c>
      <c r="D355" t="s">
        <v>342</v>
      </c>
      <c r="E355" s="61">
        <v>15645</v>
      </c>
      <c r="F355" s="61">
        <v>0</v>
      </c>
      <c r="G355" s="56" t="str">
        <f>TEXT(TablaGastos[[#This Row],[Orden]],"00")&amp;" "&amp;TablaGastos[[#This Row],[Semana]]</f>
        <v>25 27 Abril 02 Mayo</v>
      </c>
      <c r="H355" s="56" t="str">
        <f>_xlfn.XLOOKUP(TablaGastos[[#This Row],[Semana]],Pivots!$U$2:$U$30,Pivots!$Y$2:$Y$30)</f>
        <v>6-Abr</v>
      </c>
    </row>
    <row r="356" spans="1:8" x14ac:dyDescent="0.3">
      <c r="A356">
        <v>25</v>
      </c>
      <c r="B356" t="s">
        <v>371</v>
      </c>
      <c r="C356" t="s">
        <v>41</v>
      </c>
      <c r="D356" t="s">
        <v>342</v>
      </c>
      <c r="E356" s="61">
        <v>19750</v>
      </c>
      <c r="F356" s="61">
        <v>0</v>
      </c>
      <c r="G356" s="56" t="str">
        <f>TEXT(TablaGastos[[#This Row],[Orden]],"00")&amp;" "&amp;TablaGastos[[#This Row],[Semana]]</f>
        <v>25 27 Abril 02 Mayo</v>
      </c>
      <c r="H356" s="56" t="str">
        <f>_xlfn.XLOOKUP(TablaGastos[[#This Row],[Semana]],Pivots!$U$2:$U$30,Pivots!$Y$2:$Y$30)</f>
        <v>6-Abr</v>
      </c>
    </row>
    <row r="357" spans="1:8" x14ac:dyDescent="0.3">
      <c r="A357">
        <v>25</v>
      </c>
      <c r="B357" t="s">
        <v>371</v>
      </c>
      <c r="C357" t="s">
        <v>107</v>
      </c>
      <c r="D357" t="s">
        <v>421</v>
      </c>
      <c r="E357" s="61">
        <v>6526.59</v>
      </c>
      <c r="F357" s="61">
        <v>0</v>
      </c>
      <c r="G357" s="56" t="str">
        <f>TEXT(TablaGastos[[#This Row],[Orden]],"00")&amp;" "&amp;TablaGastos[[#This Row],[Semana]]</f>
        <v>25 27 Abril 02 Mayo</v>
      </c>
      <c r="H357" s="56" t="str">
        <f>_xlfn.XLOOKUP(TablaGastos[[#This Row],[Semana]],Pivots!$U$2:$U$30,Pivots!$Y$2:$Y$30)</f>
        <v>6-Abr</v>
      </c>
    </row>
    <row r="358" spans="1:8" x14ac:dyDescent="0.3">
      <c r="A358">
        <v>25</v>
      </c>
      <c r="B358" t="s">
        <v>371</v>
      </c>
      <c r="C358" t="s">
        <v>253</v>
      </c>
      <c r="D358" t="s">
        <v>422</v>
      </c>
      <c r="E358" s="61">
        <v>10788</v>
      </c>
      <c r="F358" s="61">
        <v>0</v>
      </c>
      <c r="G358" s="56" t="str">
        <f>TEXT(TablaGastos[[#This Row],[Orden]],"00")&amp;" "&amp;TablaGastos[[#This Row],[Semana]]</f>
        <v>25 27 Abril 02 Mayo</v>
      </c>
      <c r="H358" s="56" t="str">
        <f>_xlfn.XLOOKUP(TablaGastos[[#This Row],[Semana]],Pivots!$U$2:$U$30,Pivots!$Y$2:$Y$30)</f>
        <v>6-Abr</v>
      </c>
    </row>
    <row r="359" spans="1:8" x14ac:dyDescent="0.3">
      <c r="A359">
        <v>25</v>
      </c>
      <c r="B359" t="s">
        <v>371</v>
      </c>
      <c r="C359" t="s">
        <v>254</v>
      </c>
      <c r="D359" t="s">
        <v>422</v>
      </c>
      <c r="E359" s="61">
        <v>7222</v>
      </c>
      <c r="F359" s="61">
        <v>0</v>
      </c>
      <c r="G359" s="56" t="str">
        <f>TEXT(TablaGastos[[#This Row],[Orden]],"00")&amp;" "&amp;TablaGastos[[#This Row],[Semana]]</f>
        <v>25 27 Abril 02 Mayo</v>
      </c>
      <c r="H359" s="56" t="str">
        <f>_xlfn.XLOOKUP(TablaGastos[[#This Row],[Semana]],Pivots!$U$2:$U$30,Pivots!$Y$2:$Y$30)</f>
        <v>6-Abr</v>
      </c>
    </row>
    <row r="360" spans="1:8" x14ac:dyDescent="0.3">
      <c r="A360">
        <v>25</v>
      </c>
      <c r="B360" t="s">
        <v>371</v>
      </c>
      <c r="C360" t="s">
        <v>37</v>
      </c>
      <c r="D360" t="s">
        <v>342</v>
      </c>
      <c r="E360" s="61">
        <v>10000</v>
      </c>
      <c r="F360" s="61">
        <v>0</v>
      </c>
      <c r="G360" s="56" t="str">
        <f>TEXT(TablaGastos[[#This Row],[Orden]],"00")&amp;" "&amp;TablaGastos[[#This Row],[Semana]]</f>
        <v>25 27 Abril 02 Mayo</v>
      </c>
      <c r="H360" s="56" t="str">
        <f>_xlfn.XLOOKUP(TablaGastos[[#This Row],[Semana]],Pivots!$U$2:$U$30,Pivots!$Y$2:$Y$30)</f>
        <v>6-Abr</v>
      </c>
    </row>
    <row r="361" spans="1:8" x14ac:dyDescent="0.3">
      <c r="A361">
        <v>25</v>
      </c>
      <c r="B361" t="s">
        <v>371</v>
      </c>
      <c r="C361" t="s">
        <v>7</v>
      </c>
      <c r="D361" t="s">
        <v>421</v>
      </c>
      <c r="E361" s="61">
        <v>2784</v>
      </c>
      <c r="F361" s="61">
        <v>0</v>
      </c>
      <c r="G361" s="56" t="str">
        <f>TEXT(TablaGastos[[#This Row],[Orden]],"00")&amp;" "&amp;TablaGastos[[#This Row],[Semana]]</f>
        <v>25 27 Abril 02 Mayo</v>
      </c>
      <c r="H361" s="56" t="str">
        <f>_xlfn.XLOOKUP(TablaGastos[[#This Row],[Semana]],Pivots!$U$2:$U$30,Pivots!$Y$2:$Y$30)</f>
        <v>6-Abr</v>
      </c>
    </row>
    <row r="362" spans="1:8" x14ac:dyDescent="0.3">
      <c r="A362">
        <v>25</v>
      </c>
      <c r="B362" t="s">
        <v>371</v>
      </c>
      <c r="C362" t="s">
        <v>38</v>
      </c>
      <c r="D362" t="s">
        <v>421</v>
      </c>
      <c r="E362" s="61">
        <v>8952.2999999999993</v>
      </c>
      <c r="F362" s="61">
        <v>0</v>
      </c>
      <c r="G362" s="56" t="str">
        <f>TEXT(TablaGastos[[#This Row],[Orden]],"00")&amp;" "&amp;TablaGastos[[#This Row],[Semana]]</f>
        <v>25 27 Abril 02 Mayo</v>
      </c>
      <c r="H362" s="56" t="str">
        <f>_xlfn.XLOOKUP(TablaGastos[[#This Row],[Semana]],Pivots!$U$2:$U$30,Pivots!$Y$2:$Y$30)</f>
        <v>6-Abr</v>
      </c>
    </row>
    <row r="363" spans="1:8" x14ac:dyDescent="0.3">
      <c r="A363">
        <v>25</v>
      </c>
      <c r="B363" t="s">
        <v>371</v>
      </c>
      <c r="C363" t="s">
        <v>214</v>
      </c>
      <c r="D363" t="s">
        <v>342</v>
      </c>
      <c r="E363" s="61">
        <v>3795.01</v>
      </c>
      <c r="F363" s="61">
        <v>0</v>
      </c>
      <c r="G363" s="56" t="str">
        <f>TEXT(TablaGastos[[#This Row],[Orden]],"00")&amp;" "&amp;TablaGastos[[#This Row],[Semana]]</f>
        <v>25 27 Abril 02 Mayo</v>
      </c>
      <c r="H363" s="56" t="str">
        <f>_xlfn.XLOOKUP(TablaGastos[[#This Row],[Semana]],Pivots!$U$2:$U$30,Pivots!$Y$2:$Y$30)</f>
        <v>6-Abr</v>
      </c>
    </row>
    <row r="364" spans="1:8" x14ac:dyDescent="0.3">
      <c r="A364">
        <v>25</v>
      </c>
      <c r="B364" t="s">
        <v>371</v>
      </c>
      <c r="C364" t="s">
        <v>219</v>
      </c>
      <c r="D364" t="s">
        <v>421</v>
      </c>
      <c r="E364" s="61">
        <v>14500</v>
      </c>
      <c r="F364" s="61">
        <v>0</v>
      </c>
      <c r="G364" s="56" t="str">
        <f>TEXT(TablaGastos[[#This Row],[Orden]],"00")&amp;" "&amp;TablaGastos[[#This Row],[Semana]]</f>
        <v>25 27 Abril 02 Mayo</v>
      </c>
      <c r="H364" s="56" t="str">
        <f>_xlfn.XLOOKUP(TablaGastos[[#This Row],[Semana]],Pivots!$U$2:$U$30,Pivots!$Y$2:$Y$30)</f>
        <v>6-Abr</v>
      </c>
    </row>
    <row r="365" spans="1:8" x14ac:dyDescent="0.3">
      <c r="A365">
        <v>25</v>
      </c>
      <c r="B365" t="s">
        <v>371</v>
      </c>
      <c r="C365" t="s">
        <v>221</v>
      </c>
      <c r="D365" t="s">
        <v>422</v>
      </c>
      <c r="E365" s="61">
        <v>0</v>
      </c>
      <c r="F365" s="61">
        <v>32480</v>
      </c>
      <c r="G365" s="56" t="str">
        <f>TEXT(TablaGastos[[#This Row],[Orden]],"00")&amp;" "&amp;TablaGastos[[#This Row],[Semana]]</f>
        <v>25 27 Abril 02 Mayo</v>
      </c>
      <c r="H365" s="56" t="str">
        <f>_xlfn.XLOOKUP(TablaGastos[[#This Row],[Semana]],Pivots!$U$2:$U$30,Pivots!$Y$2:$Y$30)</f>
        <v>6-Abr</v>
      </c>
    </row>
    <row r="366" spans="1:8" x14ac:dyDescent="0.3">
      <c r="A366">
        <v>25</v>
      </c>
      <c r="B366" t="s">
        <v>371</v>
      </c>
      <c r="C366" t="s">
        <v>175</v>
      </c>
      <c r="D366" t="s">
        <v>422</v>
      </c>
      <c r="E366" s="61">
        <v>3970.21</v>
      </c>
      <c r="F366" s="61">
        <v>0</v>
      </c>
      <c r="G366" s="56" t="str">
        <f>TEXT(TablaGastos[[#This Row],[Orden]],"00")&amp;" "&amp;TablaGastos[[#This Row],[Semana]]</f>
        <v>25 27 Abril 02 Mayo</v>
      </c>
      <c r="H366" s="56" t="str">
        <f>_xlfn.XLOOKUP(TablaGastos[[#This Row],[Semana]],Pivots!$U$2:$U$30,Pivots!$Y$2:$Y$30)</f>
        <v>6-Abr</v>
      </c>
    </row>
    <row r="367" spans="1:8" x14ac:dyDescent="0.3">
      <c r="A367">
        <v>25</v>
      </c>
      <c r="B367" t="s">
        <v>371</v>
      </c>
      <c r="C367" t="s">
        <v>194</v>
      </c>
      <c r="D367" t="s">
        <v>422</v>
      </c>
      <c r="E367" s="61">
        <v>15370</v>
      </c>
      <c r="F367" s="61">
        <v>0</v>
      </c>
      <c r="G367" s="56" t="str">
        <f>TEXT(TablaGastos[[#This Row],[Orden]],"00")&amp;" "&amp;TablaGastos[[#This Row],[Semana]]</f>
        <v>25 27 Abril 02 Mayo</v>
      </c>
      <c r="H367" s="56" t="str">
        <f>_xlfn.XLOOKUP(TablaGastos[[#This Row],[Semana]],Pivots!$U$2:$U$30,Pivots!$Y$2:$Y$30)</f>
        <v>6-Abr</v>
      </c>
    </row>
    <row r="368" spans="1:8" x14ac:dyDescent="0.3">
      <c r="A368">
        <v>25</v>
      </c>
      <c r="B368" t="s">
        <v>371</v>
      </c>
      <c r="C368" t="s">
        <v>194</v>
      </c>
      <c r="D368" t="s">
        <v>422</v>
      </c>
      <c r="E368" s="61">
        <v>0</v>
      </c>
      <c r="F368" s="61">
        <v>15370</v>
      </c>
      <c r="G368" s="56" t="str">
        <f>TEXT(TablaGastos[[#This Row],[Orden]],"00")&amp;" "&amp;TablaGastos[[#This Row],[Semana]]</f>
        <v>25 27 Abril 02 Mayo</v>
      </c>
      <c r="H368" s="56" t="str">
        <f>_xlfn.XLOOKUP(TablaGastos[[#This Row],[Semana]],Pivots!$U$2:$U$30,Pivots!$Y$2:$Y$30)</f>
        <v>6-Abr</v>
      </c>
    </row>
    <row r="369" spans="1:8" x14ac:dyDescent="0.3">
      <c r="A369">
        <v>25</v>
      </c>
      <c r="B369" t="s">
        <v>371</v>
      </c>
      <c r="C369" t="s">
        <v>132</v>
      </c>
      <c r="D369" t="s">
        <v>421</v>
      </c>
      <c r="E369" s="61">
        <v>0</v>
      </c>
      <c r="F369" s="61">
        <v>4750.2</v>
      </c>
      <c r="G369" s="56" t="str">
        <f>TEXT(TablaGastos[[#This Row],[Orden]],"00")&amp;" "&amp;TablaGastos[[#This Row],[Semana]]</f>
        <v>25 27 Abril 02 Mayo</v>
      </c>
      <c r="H369" s="56" t="str">
        <f>_xlfn.XLOOKUP(TablaGastos[[#This Row],[Semana]],Pivots!$U$2:$U$30,Pivots!$Y$2:$Y$30)</f>
        <v>6-Abr</v>
      </c>
    </row>
    <row r="370" spans="1:8" x14ac:dyDescent="0.3">
      <c r="A370">
        <v>25</v>
      </c>
      <c r="B370" t="s">
        <v>371</v>
      </c>
      <c r="C370" t="s">
        <v>161</v>
      </c>
      <c r="D370" t="s">
        <v>422</v>
      </c>
      <c r="E370" s="61">
        <v>9135</v>
      </c>
      <c r="F370" s="61">
        <v>0</v>
      </c>
      <c r="G370" s="56" t="str">
        <f>TEXT(TablaGastos[[#This Row],[Orden]],"00")&amp;" "&amp;TablaGastos[[#This Row],[Semana]]</f>
        <v>25 27 Abril 02 Mayo</v>
      </c>
      <c r="H370" s="56" t="str">
        <f>_xlfn.XLOOKUP(TablaGastos[[#This Row],[Semana]],Pivots!$U$2:$U$30,Pivots!$Y$2:$Y$30)</f>
        <v>6-Abr</v>
      </c>
    </row>
    <row r="371" spans="1:8" x14ac:dyDescent="0.3">
      <c r="A371">
        <v>25</v>
      </c>
      <c r="B371" t="s">
        <v>371</v>
      </c>
      <c r="C371" t="s">
        <v>161</v>
      </c>
      <c r="D371" t="s">
        <v>422</v>
      </c>
      <c r="E371" s="61">
        <v>11629</v>
      </c>
      <c r="F371" s="61">
        <v>0</v>
      </c>
      <c r="G371" s="56" t="str">
        <f>TEXT(TablaGastos[[#This Row],[Orden]],"00")&amp;" "&amp;TablaGastos[[#This Row],[Semana]]</f>
        <v>25 27 Abril 02 Mayo</v>
      </c>
      <c r="H371" s="56" t="str">
        <f>_xlfn.XLOOKUP(TablaGastos[[#This Row],[Semana]],Pivots!$U$2:$U$30,Pivots!$Y$2:$Y$30)</f>
        <v>6-Abr</v>
      </c>
    </row>
    <row r="372" spans="1:8" x14ac:dyDescent="0.3">
      <c r="A372">
        <v>25</v>
      </c>
      <c r="B372" t="s">
        <v>371</v>
      </c>
      <c r="C372" t="s">
        <v>161</v>
      </c>
      <c r="D372" t="s">
        <v>422</v>
      </c>
      <c r="E372" s="61">
        <v>9135</v>
      </c>
      <c r="F372" s="61">
        <v>0</v>
      </c>
      <c r="G372" s="56" t="str">
        <f>TEXT(TablaGastos[[#This Row],[Orden]],"00")&amp;" "&amp;TablaGastos[[#This Row],[Semana]]</f>
        <v>25 27 Abril 02 Mayo</v>
      </c>
      <c r="H372" s="56" t="str">
        <f>_xlfn.XLOOKUP(TablaGastos[[#This Row],[Semana]],Pivots!$U$2:$U$30,Pivots!$Y$2:$Y$30)</f>
        <v>6-Abr</v>
      </c>
    </row>
    <row r="373" spans="1:8" x14ac:dyDescent="0.3">
      <c r="A373">
        <v>25</v>
      </c>
      <c r="B373" t="s">
        <v>371</v>
      </c>
      <c r="C373" t="s">
        <v>257</v>
      </c>
      <c r="D373" t="s">
        <v>344</v>
      </c>
      <c r="E373" s="61">
        <v>520</v>
      </c>
      <c r="F373" s="61">
        <v>0</v>
      </c>
      <c r="G373" s="56" t="str">
        <f>TEXT(TablaGastos[[#This Row],[Orden]],"00")&amp;" "&amp;TablaGastos[[#This Row],[Semana]]</f>
        <v>25 27 Abril 02 Mayo</v>
      </c>
      <c r="H373" s="56" t="str">
        <f>_xlfn.XLOOKUP(TablaGastos[[#This Row],[Semana]],Pivots!$U$2:$U$30,Pivots!$Y$2:$Y$30)</f>
        <v>6-Abr</v>
      </c>
    </row>
    <row r="374" spans="1:8" x14ac:dyDescent="0.3">
      <c r="A374">
        <v>25</v>
      </c>
      <c r="B374" t="s">
        <v>371</v>
      </c>
      <c r="C374" t="s">
        <v>258</v>
      </c>
      <c r="D374" t="s">
        <v>422</v>
      </c>
      <c r="E374" s="61">
        <v>1076</v>
      </c>
      <c r="F374" s="61">
        <v>0</v>
      </c>
      <c r="G374" s="56" t="str">
        <f>TEXT(TablaGastos[[#This Row],[Orden]],"00")&amp;" "&amp;TablaGastos[[#This Row],[Semana]]</f>
        <v>25 27 Abril 02 Mayo</v>
      </c>
      <c r="H374" s="56" t="str">
        <f>_xlfn.XLOOKUP(TablaGastos[[#This Row],[Semana]],Pivots!$U$2:$U$30,Pivots!$Y$2:$Y$30)</f>
        <v>6-Abr</v>
      </c>
    </row>
    <row r="375" spans="1:8" x14ac:dyDescent="0.3">
      <c r="A375">
        <v>25</v>
      </c>
      <c r="B375" t="s">
        <v>371</v>
      </c>
      <c r="C375" t="s">
        <v>259</v>
      </c>
      <c r="D375" t="s">
        <v>422</v>
      </c>
      <c r="E375" s="61">
        <v>600</v>
      </c>
      <c r="F375" s="61">
        <v>0</v>
      </c>
      <c r="G375" s="56" t="str">
        <f>TEXT(TablaGastos[[#This Row],[Orden]],"00")&amp;" "&amp;TablaGastos[[#This Row],[Semana]]</f>
        <v>25 27 Abril 02 Mayo</v>
      </c>
      <c r="H375" s="56" t="str">
        <f>_xlfn.XLOOKUP(TablaGastos[[#This Row],[Semana]],Pivots!$U$2:$U$30,Pivots!$Y$2:$Y$30)</f>
        <v>6-Abr</v>
      </c>
    </row>
    <row r="376" spans="1:8" x14ac:dyDescent="0.3">
      <c r="A376">
        <v>25</v>
      </c>
      <c r="B376" t="s">
        <v>371</v>
      </c>
      <c r="C376" t="s">
        <v>260</v>
      </c>
      <c r="D376" t="s">
        <v>347</v>
      </c>
      <c r="E376" s="61">
        <v>10000</v>
      </c>
      <c r="F376" s="61">
        <v>0</v>
      </c>
      <c r="G376" s="56" t="str">
        <f>TEXT(TablaGastos[[#This Row],[Orden]],"00")&amp;" "&amp;TablaGastos[[#This Row],[Semana]]</f>
        <v>25 27 Abril 02 Mayo</v>
      </c>
      <c r="H376" s="56" t="str">
        <f>_xlfn.XLOOKUP(TablaGastos[[#This Row],[Semana]],Pivots!$U$2:$U$30,Pivots!$Y$2:$Y$30)</f>
        <v>6-Abr</v>
      </c>
    </row>
    <row r="377" spans="1:8" x14ac:dyDescent="0.3">
      <c r="A377">
        <v>25</v>
      </c>
      <c r="B377" t="s">
        <v>371</v>
      </c>
      <c r="C377" t="s">
        <v>261</v>
      </c>
      <c r="D377" t="s">
        <v>344</v>
      </c>
      <c r="E377" s="61">
        <v>3310</v>
      </c>
      <c r="F377" s="61">
        <v>0</v>
      </c>
      <c r="G377" s="56" t="str">
        <f>TEXT(TablaGastos[[#This Row],[Orden]],"00")&amp;" "&amp;TablaGastos[[#This Row],[Semana]]</f>
        <v>25 27 Abril 02 Mayo</v>
      </c>
      <c r="H377" s="56" t="str">
        <f>_xlfn.XLOOKUP(TablaGastos[[#This Row],[Semana]],Pivots!$U$2:$U$30,Pivots!$Y$2:$Y$30)</f>
        <v>6-Abr</v>
      </c>
    </row>
    <row r="378" spans="1:8" x14ac:dyDescent="0.3">
      <c r="A378">
        <v>25</v>
      </c>
      <c r="B378" t="s">
        <v>371</v>
      </c>
      <c r="C378" t="s">
        <v>243</v>
      </c>
      <c r="D378" t="s">
        <v>342</v>
      </c>
      <c r="E378" s="61">
        <v>12220</v>
      </c>
      <c r="F378" s="61">
        <v>0</v>
      </c>
      <c r="G378" s="56" t="str">
        <f>TEXT(TablaGastos[[#This Row],[Orden]],"00")&amp;" "&amp;TablaGastos[[#This Row],[Semana]]</f>
        <v>25 27 Abril 02 Mayo</v>
      </c>
      <c r="H378" s="56" t="str">
        <f>_xlfn.XLOOKUP(TablaGastos[[#This Row],[Semana]],Pivots!$U$2:$U$30,Pivots!$Y$2:$Y$30)</f>
        <v>6-Abr</v>
      </c>
    </row>
    <row r="379" spans="1:8" x14ac:dyDescent="0.3">
      <c r="A379">
        <v>25</v>
      </c>
      <c r="B379" t="s">
        <v>371</v>
      </c>
      <c r="C379" t="s">
        <v>262</v>
      </c>
      <c r="D379" t="s">
        <v>421</v>
      </c>
      <c r="E379" s="61">
        <v>2516.21</v>
      </c>
      <c r="F379" s="61">
        <v>0</v>
      </c>
      <c r="G379" s="56" t="str">
        <f>TEXT(TablaGastos[[#This Row],[Orden]],"00")&amp;" "&amp;TablaGastos[[#This Row],[Semana]]</f>
        <v>25 27 Abril 02 Mayo</v>
      </c>
      <c r="H379" s="56" t="str">
        <f>_xlfn.XLOOKUP(TablaGastos[[#This Row],[Semana]],Pivots!$U$2:$U$30,Pivots!$Y$2:$Y$30)</f>
        <v>6-Abr</v>
      </c>
    </row>
    <row r="380" spans="1:8" x14ac:dyDescent="0.3">
      <c r="A380">
        <v>25</v>
      </c>
      <c r="B380" t="s">
        <v>371</v>
      </c>
      <c r="C380" t="s">
        <v>224</v>
      </c>
      <c r="D380" t="s">
        <v>347</v>
      </c>
      <c r="E380" s="61">
        <v>11600</v>
      </c>
      <c r="F380" s="61">
        <v>0</v>
      </c>
      <c r="G380" s="56" t="str">
        <f>TEXT(TablaGastos[[#This Row],[Orden]],"00")&amp;" "&amp;TablaGastos[[#This Row],[Semana]]</f>
        <v>25 27 Abril 02 Mayo</v>
      </c>
      <c r="H380" s="56" t="str">
        <f>_xlfn.XLOOKUP(TablaGastos[[#This Row],[Semana]],Pivots!$U$2:$U$30,Pivots!$Y$2:$Y$30)</f>
        <v>6-Abr</v>
      </c>
    </row>
    <row r="381" spans="1:8" x14ac:dyDescent="0.3">
      <c r="A381">
        <v>25</v>
      </c>
      <c r="B381" t="s">
        <v>371</v>
      </c>
      <c r="C381" t="s">
        <v>264</v>
      </c>
      <c r="D381" t="s">
        <v>421</v>
      </c>
      <c r="E381" s="61">
        <v>2900</v>
      </c>
      <c r="F381" s="61">
        <v>0</v>
      </c>
      <c r="G381" s="56" t="str">
        <f>TEXT(TablaGastos[[#This Row],[Orden]],"00")&amp;" "&amp;TablaGastos[[#This Row],[Semana]]</f>
        <v>25 27 Abril 02 Mayo</v>
      </c>
      <c r="H381" s="56" t="str">
        <f>_xlfn.XLOOKUP(TablaGastos[[#This Row],[Semana]],Pivots!$U$2:$U$30,Pivots!$Y$2:$Y$30)</f>
        <v>6-Abr</v>
      </c>
    </row>
    <row r="382" spans="1:8" x14ac:dyDescent="0.3">
      <c r="A382">
        <v>26</v>
      </c>
      <c r="B382" t="s">
        <v>372</v>
      </c>
      <c r="C382" t="s">
        <v>30</v>
      </c>
      <c r="D382" t="s">
        <v>342</v>
      </c>
      <c r="E382" s="61">
        <v>110000</v>
      </c>
      <c r="F382" s="61">
        <v>0</v>
      </c>
      <c r="G382" s="56" t="str">
        <f>TEXT(TablaGastos[[#This Row],[Orden]],"00")&amp;" "&amp;TablaGastos[[#This Row],[Semana]]</f>
        <v>26 04 09 Mayo</v>
      </c>
      <c r="H382" s="56" t="str">
        <f>_xlfn.XLOOKUP(TablaGastos[[#This Row],[Semana]],Pivots!$U$2:$U$30,Pivots!$Y$2:$Y$30)</f>
        <v>7-May</v>
      </c>
    </row>
    <row r="383" spans="1:8" x14ac:dyDescent="0.3">
      <c r="A383">
        <v>26</v>
      </c>
      <c r="B383" t="s">
        <v>372</v>
      </c>
      <c r="C383" t="s">
        <v>41</v>
      </c>
      <c r="D383" t="s">
        <v>342</v>
      </c>
      <c r="E383" s="61">
        <v>21850</v>
      </c>
      <c r="F383" s="61">
        <v>0</v>
      </c>
      <c r="G383" s="56" t="str">
        <f>TEXT(TablaGastos[[#This Row],[Orden]],"00")&amp;" "&amp;TablaGastos[[#This Row],[Semana]]</f>
        <v>26 04 09 Mayo</v>
      </c>
      <c r="H383" s="56" t="str">
        <f>_xlfn.XLOOKUP(TablaGastos[[#This Row],[Semana]],Pivots!$U$2:$U$30,Pivots!$Y$2:$Y$30)</f>
        <v>7-May</v>
      </c>
    </row>
    <row r="384" spans="1:8" x14ac:dyDescent="0.3">
      <c r="A384">
        <v>26</v>
      </c>
      <c r="B384" t="s">
        <v>372</v>
      </c>
      <c r="C384" t="s">
        <v>107</v>
      </c>
      <c r="D384" t="s">
        <v>421</v>
      </c>
      <c r="E384" s="61">
        <v>5537.7</v>
      </c>
      <c r="F384" s="61">
        <v>0</v>
      </c>
      <c r="G384" s="56" t="str">
        <f>TEXT(TablaGastos[[#This Row],[Orden]],"00")&amp;" "&amp;TablaGastos[[#This Row],[Semana]]</f>
        <v>26 04 09 Mayo</v>
      </c>
      <c r="H384" s="56" t="str">
        <f>_xlfn.XLOOKUP(TablaGastos[[#This Row],[Semana]],Pivots!$U$2:$U$30,Pivots!$Y$2:$Y$30)</f>
        <v>7-May</v>
      </c>
    </row>
    <row r="385" spans="1:8" x14ac:dyDescent="0.3">
      <c r="A385">
        <v>26</v>
      </c>
      <c r="B385" t="s">
        <v>372</v>
      </c>
      <c r="C385" t="s">
        <v>37</v>
      </c>
      <c r="D385" t="s">
        <v>342</v>
      </c>
      <c r="E385" s="61">
        <v>0</v>
      </c>
      <c r="F385" s="61">
        <v>10000</v>
      </c>
      <c r="G385" s="56" t="str">
        <f>TEXT(TablaGastos[[#This Row],[Orden]],"00")&amp;" "&amp;TablaGastos[[#This Row],[Semana]]</f>
        <v>26 04 09 Mayo</v>
      </c>
      <c r="H385" s="56" t="str">
        <f>_xlfn.XLOOKUP(TablaGastos[[#This Row],[Semana]],Pivots!$U$2:$U$30,Pivots!$Y$2:$Y$30)</f>
        <v>7-May</v>
      </c>
    </row>
    <row r="386" spans="1:8" x14ac:dyDescent="0.3">
      <c r="A386">
        <v>26</v>
      </c>
      <c r="B386" t="s">
        <v>372</v>
      </c>
      <c r="C386" t="s">
        <v>221</v>
      </c>
      <c r="D386" t="s">
        <v>422</v>
      </c>
      <c r="E386" s="61">
        <v>0</v>
      </c>
      <c r="F386" s="61">
        <v>32480</v>
      </c>
      <c r="G386" s="56" t="str">
        <f>TEXT(TablaGastos[[#This Row],[Orden]],"00")&amp;" "&amp;TablaGastos[[#This Row],[Semana]]</f>
        <v>26 04 09 Mayo</v>
      </c>
      <c r="H386" s="56" t="str">
        <f>_xlfn.XLOOKUP(TablaGastos[[#This Row],[Semana]],Pivots!$U$2:$U$30,Pivots!$Y$2:$Y$30)</f>
        <v>7-May</v>
      </c>
    </row>
    <row r="387" spans="1:8" x14ac:dyDescent="0.3">
      <c r="A387">
        <v>26</v>
      </c>
      <c r="B387" t="s">
        <v>372</v>
      </c>
      <c r="C387" t="s">
        <v>38</v>
      </c>
      <c r="D387" t="s">
        <v>421</v>
      </c>
      <c r="E387" s="61">
        <v>0</v>
      </c>
      <c r="F387" s="61">
        <v>8952.2999999999993</v>
      </c>
      <c r="G387" s="56" t="str">
        <f>TEXT(TablaGastos[[#This Row],[Orden]],"00")&amp;" "&amp;TablaGastos[[#This Row],[Semana]]</f>
        <v>26 04 09 Mayo</v>
      </c>
      <c r="H387" s="56" t="str">
        <f>_xlfn.XLOOKUP(TablaGastos[[#This Row],[Semana]],Pivots!$U$2:$U$30,Pivots!$Y$2:$Y$30)</f>
        <v>7-May</v>
      </c>
    </row>
    <row r="388" spans="1:8" x14ac:dyDescent="0.3">
      <c r="A388">
        <v>26</v>
      </c>
      <c r="B388" t="s">
        <v>372</v>
      </c>
      <c r="C388" t="s">
        <v>175</v>
      </c>
      <c r="D388" t="s">
        <v>422</v>
      </c>
      <c r="E388" s="61">
        <v>4235.9399999999996</v>
      </c>
      <c r="F388" s="61">
        <v>0</v>
      </c>
      <c r="G388" s="56" t="str">
        <f>TEXT(TablaGastos[[#This Row],[Orden]],"00")&amp;" "&amp;TablaGastos[[#This Row],[Semana]]</f>
        <v>26 04 09 Mayo</v>
      </c>
      <c r="H388" s="56" t="str">
        <f>_xlfn.XLOOKUP(TablaGastos[[#This Row],[Semana]],Pivots!$U$2:$U$30,Pivots!$Y$2:$Y$30)</f>
        <v>7-May</v>
      </c>
    </row>
    <row r="389" spans="1:8" x14ac:dyDescent="0.3">
      <c r="A389">
        <v>26</v>
      </c>
      <c r="B389" t="s">
        <v>372</v>
      </c>
      <c r="C389" t="s">
        <v>11</v>
      </c>
      <c r="D389" t="s">
        <v>347</v>
      </c>
      <c r="E389" s="61">
        <v>0</v>
      </c>
      <c r="F389" s="61">
        <v>26453.74</v>
      </c>
      <c r="G389" s="56" t="str">
        <f>TEXT(TablaGastos[[#This Row],[Orden]],"00")&amp;" "&amp;TablaGastos[[#This Row],[Semana]]</f>
        <v>26 04 09 Mayo</v>
      </c>
      <c r="H389" s="56" t="str">
        <f>_xlfn.XLOOKUP(TablaGastos[[#This Row],[Semana]],Pivots!$U$2:$U$30,Pivots!$Y$2:$Y$30)</f>
        <v>7-May</v>
      </c>
    </row>
    <row r="390" spans="1:8" x14ac:dyDescent="0.3">
      <c r="A390">
        <v>26</v>
      </c>
      <c r="B390" t="s">
        <v>372</v>
      </c>
      <c r="C390" t="s">
        <v>11</v>
      </c>
      <c r="D390" t="s">
        <v>347</v>
      </c>
      <c r="E390" s="61">
        <v>0</v>
      </c>
      <c r="F390" s="61">
        <v>14592.86</v>
      </c>
      <c r="G390" s="56" t="str">
        <f>TEXT(TablaGastos[[#This Row],[Orden]],"00")&amp;" "&amp;TablaGastos[[#This Row],[Semana]]</f>
        <v>26 04 09 Mayo</v>
      </c>
      <c r="H390" s="56" t="str">
        <f>_xlfn.XLOOKUP(TablaGastos[[#This Row],[Semana]],Pivots!$U$2:$U$30,Pivots!$Y$2:$Y$30)</f>
        <v>7-May</v>
      </c>
    </row>
    <row r="391" spans="1:8" x14ac:dyDescent="0.3">
      <c r="A391">
        <v>26</v>
      </c>
      <c r="B391" t="s">
        <v>372</v>
      </c>
      <c r="C391" t="s">
        <v>194</v>
      </c>
      <c r="D391" t="s">
        <v>422</v>
      </c>
      <c r="E391" s="61">
        <v>15370</v>
      </c>
      <c r="F391" s="61">
        <v>0</v>
      </c>
      <c r="G391" s="56" t="str">
        <f>TEXT(TablaGastos[[#This Row],[Orden]],"00")&amp;" "&amp;TablaGastos[[#This Row],[Semana]]</f>
        <v>26 04 09 Mayo</v>
      </c>
      <c r="H391" s="56" t="str">
        <f>_xlfn.XLOOKUP(TablaGastos[[#This Row],[Semana]],Pivots!$U$2:$U$30,Pivots!$Y$2:$Y$30)</f>
        <v>7-May</v>
      </c>
    </row>
    <row r="392" spans="1:8" x14ac:dyDescent="0.3">
      <c r="A392">
        <v>26</v>
      </c>
      <c r="B392" t="s">
        <v>372</v>
      </c>
      <c r="C392" t="s">
        <v>270</v>
      </c>
      <c r="D392" t="s">
        <v>344</v>
      </c>
      <c r="E392" s="61">
        <v>0</v>
      </c>
      <c r="F392" s="61">
        <v>20000</v>
      </c>
      <c r="G392" s="56" t="str">
        <f>TEXT(TablaGastos[[#This Row],[Orden]],"00")&amp;" "&amp;TablaGastos[[#This Row],[Semana]]</f>
        <v>26 04 09 Mayo</v>
      </c>
      <c r="H392" s="56" t="str">
        <f>_xlfn.XLOOKUP(TablaGastos[[#This Row],[Semana]],Pivots!$U$2:$U$30,Pivots!$Y$2:$Y$30)</f>
        <v>7-May</v>
      </c>
    </row>
    <row r="393" spans="1:8" x14ac:dyDescent="0.3">
      <c r="A393">
        <v>26</v>
      </c>
      <c r="B393" t="s">
        <v>372</v>
      </c>
      <c r="C393" t="s">
        <v>271</v>
      </c>
      <c r="D393" t="s">
        <v>422</v>
      </c>
      <c r="E393" s="61">
        <v>18270</v>
      </c>
      <c r="F393" s="61">
        <v>0</v>
      </c>
      <c r="G393" s="56" t="str">
        <f>TEXT(TablaGastos[[#This Row],[Orden]],"00")&amp;" "&amp;TablaGastos[[#This Row],[Semana]]</f>
        <v>26 04 09 Mayo</v>
      </c>
      <c r="H393" s="56" t="str">
        <f>_xlfn.XLOOKUP(TablaGastos[[#This Row],[Semana]],Pivots!$U$2:$U$30,Pivots!$Y$2:$Y$30)</f>
        <v>7-May</v>
      </c>
    </row>
    <row r="394" spans="1:8" x14ac:dyDescent="0.3">
      <c r="A394">
        <v>26</v>
      </c>
      <c r="B394" t="s">
        <v>372</v>
      </c>
      <c r="C394" t="s">
        <v>132</v>
      </c>
      <c r="D394" t="s">
        <v>421</v>
      </c>
      <c r="E394" s="61">
        <v>4750.2</v>
      </c>
      <c r="F394" s="61">
        <v>0</v>
      </c>
      <c r="G394" s="56" t="str">
        <f>TEXT(TablaGastos[[#This Row],[Orden]],"00")&amp;" "&amp;TablaGastos[[#This Row],[Semana]]</f>
        <v>26 04 09 Mayo</v>
      </c>
      <c r="H394" s="56" t="str">
        <f>_xlfn.XLOOKUP(TablaGastos[[#This Row],[Semana]],Pivots!$U$2:$U$30,Pivots!$Y$2:$Y$30)</f>
        <v>7-May</v>
      </c>
    </row>
    <row r="395" spans="1:8" x14ac:dyDescent="0.3">
      <c r="A395">
        <v>27</v>
      </c>
      <c r="B395" t="s">
        <v>373</v>
      </c>
      <c r="C395" t="s">
        <v>30</v>
      </c>
      <c r="D395" t="s">
        <v>342</v>
      </c>
      <c r="E395" s="61">
        <v>110000</v>
      </c>
      <c r="F395" s="61">
        <v>0</v>
      </c>
      <c r="G395" s="56" t="str">
        <f>TEXT(TablaGastos[[#This Row],[Orden]],"00")&amp;" "&amp;TablaGastos[[#This Row],[Semana]]</f>
        <v>27 11 16 Mayo</v>
      </c>
      <c r="H395" s="56" t="str">
        <f>_xlfn.XLOOKUP(TablaGastos[[#This Row],[Semana]],Pivots!$U$2:$U$30,Pivots!$Y$2:$Y$30)</f>
        <v>7-May</v>
      </c>
    </row>
    <row r="396" spans="1:8" x14ac:dyDescent="0.3">
      <c r="A396">
        <v>27</v>
      </c>
      <c r="B396" t="s">
        <v>373</v>
      </c>
      <c r="C396" t="s">
        <v>248</v>
      </c>
      <c r="D396" t="s">
        <v>342</v>
      </c>
      <c r="E396" s="61">
        <v>9000</v>
      </c>
      <c r="F396" s="61">
        <v>0</v>
      </c>
      <c r="G396" s="56" t="str">
        <f>TEXT(TablaGastos[[#This Row],[Orden]],"00")&amp;" "&amp;TablaGastos[[#This Row],[Semana]]</f>
        <v>27 11 16 Mayo</v>
      </c>
      <c r="H396" s="56" t="str">
        <f>_xlfn.XLOOKUP(TablaGastos[[#This Row],[Semana]],Pivots!$U$2:$U$30,Pivots!$Y$2:$Y$30)</f>
        <v>7-May</v>
      </c>
    </row>
    <row r="397" spans="1:8" x14ac:dyDescent="0.3">
      <c r="A397">
        <v>27</v>
      </c>
      <c r="B397" t="s">
        <v>373</v>
      </c>
      <c r="C397" t="s">
        <v>41</v>
      </c>
      <c r="D397" t="s">
        <v>342</v>
      </c>
      <c r="E397" s="61">
        <v>24450</v>
      </c>
      <c r="F397" s="61">
        <v>0</v>
      </c>
      <c r="G397" s="56" t="str">
        <f>TEXT(TablaGastos[[#This Row],[Orden]],"00")&amp;" "&amp;TablaGastos[[#This Row],[Semana]]</f>
        <v>27 11 16 Mayo</v>
      </c>
      <c r="H397" s="56" t="str">
        <f>_xlfn.XLOOKUP(TablaGastos[[#This Row],[Semana]],Pivots!$U$2:$U$30,Pivots!$Y$2:$Y$30)</f>
        <v>7-May</v>
      </c>
    </row>
    <row r="398" spans="1:8" x14ac:dyDescent="0.3">
      <c r="A398">
        <v>27</v>
      </c>
      <c r="B398" t="s">
        <v>373</v>
      </c>
      <c r="C398" t="s">
        <v>107</v>
      </c>
      <c r="D398" t="s">
        <v>421</v>
      </c>
      <c r="E398" s="61">
        <v>13795.487999999999</v>
      </c>
      <c r="F398" s="61">
        <v>0</v>
      </c>
      <c r="G398" s="56" t="str">
        <f>TEXT(TablaGastos[[#This Row],[Orden]],"00")&amp;" "&amp;TablaGastos[[#This Row],[Semana]]</f>
        <v>27 11 16 Mayo</v>
      </c>
      <c r="H398" s="56" t="str">
        <f>_xlfn.XLOOKUP(TablaGastos[[#This Row],[Semana]],Pivots!$U$2:$U$30,Pivots!$Y$2:$Y$30)</f>
        <v>7-May</v>
      </c>
    </row>
    <row r="399" spans="1:8" x14ac:dyDescent="0.3">
      <c r="A399">
        <v>27</v>
      </c>
      <c r="B399" t="s">
        <v>373</v>
      </c>
      <c r="C399" t="s">
        <v>2</v>
      </c>
      <c r="D399" t="s">
        <v>342</v>
      </c>
      <c r="E399" s="61">
        <v>7000</v>
      </c>
      <c r="F399" s="61">
        <v>0</v>
      </c>
      <c r="G399" s="56" t="str">
        <f>TEXT(TablaGastos[[#This Row],[Orden]],"00")&amp;" "&amp;TablaGastos[[#This Row],[Semana]]</f>
        <v>27 11 16 Mayo</v>
      </c>
      <c r="H399" s="56" t="str">
        <f>_xlfn.XLOOKUP(TablaGastos[[#This Row],[Semana]],Pivots!$U$2:$U$30,Pivots!$Y$2:$Y$30)</f>
        <v>7-May</v>
      </c>
    </row>
    <row r="400" spans="1:8" x14ac:dyDescent="0.3">
      <c r="A400">
        <v>27</v>
      </c>
      <c r="B400" t="s">
        <v>373</v>
      </c>
      <c r="C400" t="s">
        <v>2</v>
      </c>
      <c r="D400" t="s">
        <v>342</v>
      </c>
      <c r="E400" s="61">
        <v>61302.86</v>
      </c>
      <c r="F400" s="61">
        <v>0</v>
      </c>
      <c r="G400" s="56" t="str">
        <f>TEXT(TablaGastos[[#This Row],[Orden]],"00")&amp;" "&amp;TablaGastos[[#This Row],[Semana]]</f>
        <v>27 11 16 Mayo</v>
      </c>
      <c r="H400" s="56" t="str">
        <f>_xlfn.XLOOKUP(TablaGastos[[#This Row],[Semana]],Pivots!$U$2:$U$30,Pivots!$Y$2:$Y$30)</f>
        <v>7-May</v>
      </c>
    </row>
    <row r="401" spans="1:8" x14ac:dyDescent="0.3">
      <c r="A401">
        <v>27</v>
      </c>
      <c r="B401" t="s">
        <v>373</v>
      </c>
      <c r="C401" t="s">
        <v>37</v>
      </c>
      <c r="D401" t="s">
        <v>342</v>
      </c>
      <c r="E401" s="61">
        <v>10000</v>
      </c>
      <c r="F401" s="61">
        <v>10000</v>
      </c>
      <c r="G401" s="56" t="str">
        <f>TEXT(TablaGastos[[#This Row],[Orden]],"00")&amp;" "&amp;TablaGastos[[#This Row],[Semana]]</f>
        <v>27 11 16 Mayo</v>
      </c>
      <c r="H401" s="56" t="str">
        <f>_xlfn.XLOOKUP(TablaGastos[[#This Row],[Semana]],Pivots!$U$2:$U$30,Pivots!$Y$2:$Y$30)</f>
        <v>7-May</v>
      </c>
    </row>
    <row r="402" spans="1:8" x14ac:dyDescent="0.3">
      <c r="A402">
        <v>27</v>
      </c>
      <c r="B402" t="s">
        <v>373</v>
      </c>
      <c r="C402" t="s">
        <v>221</v>
      </c>
      <c r="D402" t="s">
        <v>422</v>
      </c>
      <c r="E402" s="61">
        <v>0</v>
      </c>
      <c r="F402" s="61">
        <v>32480</v>
      </c>
      <c r="G402" s="56" t="str">
        <f>TEXT(TablaGastos[[#This Row],[Orden]],"00")&amp;" "&amp;TablaGastos[[#This Row],[Semana]]</f>
        <v>27 11 16 Mayo</v>
      </c>
      <c r="H402" s="56" t="str">
        <f>_xlfn.XLOOKUP(TablaGastos[[#This Row],[Semana]],Pivots!$U$2:$U$30,Pivots!$Y$2:$Y$30)</f>
        <v>7-May</v>
      </c>
    </row>
    <row r="403" spans="1:8" x14ac:dyDescent="0.3">
      <c r="A403">
        <v>27</v>
      </c>
      <c r="B403" t="s">
        <v>373</v>
      </c>
      <c r="C403" t="s">
        <v>7</v>
      </c>
      <c r="D403" t="s">
        <v>421</v>
      </c>
      <c r="E403" s="61">
        <v>0</v>
      </c>
      <c r="F403" s="61">
        <v>3886</v>
      </c>
      <c r="G403" s="56" t="str">
        <f>TEXT(TablaGastos[[#This Row],[Orden]],"00")&amp;" "&amp;TablaGastos[[#This Row],[Semana]]</f>
        <v>27 11 16 Mayo</v>
      </c>
      <c r="H403" s="56" t="str">
        <f>_xlfn.XLOOKUP(TablaGastos[[#This Row],[Semana]],Pivots!$U$2:$U$30,Pivots!$Y$2:$Y$30)</f>
        <v>7-May</v>
      </c>
    </row>
    <row r="404" spans="1:8" x14ac:dyDescent="0.3">
      <c r="A404">
        <v>27</v>
      </c>
      <c r="B404" t="s">
        <v>373</v>
      </c>
      <c r="C404" t="s">
        <v>214</v>
      </c>
      <c r="D404" t="s">
        <v>342</v>
      </c>
      <c r="E404" s="61">
        <v>0</v>
      </c>
      <c r="F404" s="61">
        <v>6050</v>
      </c>
      <c r="G404" s="56" t="str">
        <f>TEXT(TablaGastos[[#This Row],[Orden]],"00")&amp;" "&amp;TablaGastos[[#This Row],[Semana]]</f>
        <v>27 11 16 Mayo</v>
      </c>
      <c r="H404" s="56" t="str">
        <f>_xlfn.XLOOKUP(TablaGastos[[#This Row],[Semana]],Pivots!$U$2:$U$30,Pivots!$Y$2:$Y$30)</f>
        <v>7-May</v>
      </c>
    </row>
    <row r="405" spans="1:8" x14ac:dyDescent="0.3">
      <c r="A405">
        <v>27</v>
      </c>
      <c r="B405" t="s">
        <v>373</v>
      </c>
      <c r="C405" t="s">
        <v>280</v>
      </c>
      <c r="D405" t="s">
        <v>422</v>
      </c>
      <c r="E405" s="61">
        <v>0</v>
      </c>
      <c r="F405" s="61">
        <v>3596.65</v>
      </c>
      <c r="G405" s="56" t="str">
        <f>TEXT(TablaGastos[[#This Row],[Orden]],"00")&amp;" "&amp;TablaGastos[[#This Row],[Semana]]</f>
        <v>27 11 16 Mayo</v>
      </c>
      <c r="H405" s="56" t="str">
        <f>_xlfn.XLOOKUP(TablaGastos[[#This Row],[Semana]],Pivots!$U$2:$U$30,Pivots!$Y$2:$Y$30)</f>
        <v>7-May</v>
      </c>
    </row>
    <row r="406" spans="1:8" x14ac:dyDescent="0.3">
      <c r="A406">
        <v>27</v>
      </c>
      <c r="B406" t="s">
        <v>373</v>
      </c>
      <c r="C406" t="s">
        <v>38</v>
      </c>
      <c r="D406" t="s">
        <v>421</v>
      </c>
      <c r="E406" s="61">
        <v>8952.2999999999993</v>
      </c>
      <c r="F406" s="61">
        <v>0</v>
      </c>
      <c r="G406" s="56" t="str">
        <f>TEXT(TablaGastos[[#This Row],[Orden]],"00")&amp;" "&amp;TablaGastos[[#This Row],[Semana]]</f>
        <v>27 11 16 Mayo</v>
      </c>
      <c r="H406" s="56" t="str">
        <f>_xlfn.XLOOKUP(TablaGastos[[#This Row],[Semana]],Pivots!$U$2:$U$30,Pivots!$Y$2:$Y$30)</f>
        <v>7-May</v>
      </c>
    </row>
    <row r="407" spans="1:8" x14ac:dyDescent="0.3">
      <c r="A407">
        <v>27</v>
      </c>
      <c r="B407" t="s">
        <v>373</v>
      </c>
      <c r="C407" t="s">
        <v>134</v>
      </c>
      <c r="D407" t="s">
        <v>344</v>
      </c>
      <c r="E407" s="61">
        <v>0</v>
      </c>
      <c r="F407" s="61">
        <v>2033</v>
      </c>
      <c r="G407" s="56" t="str">
        <f>TEXT(TablaGastos[[#This Row],[Orden]],"00")&amp;" "&amp;TablaGastos[[#This Row],[Semana]]</f>
        <v>27 11 16 Mayo</v>
      </c>
      <c r="H407" s="56" t="str">
        <f>_xlfn.XLOOKUP(TablaGastos[[#This Row],[Semana]],Pivots!$U$2:$U$30,Pivots!$Y$2:$Y$30)</f>
        <v>7-May</v>
      </c>
    </row>
    <row r="408" spans="1:8" x14ac:dyDescent="0.3">
      <c r="A408">
        <v>27</v>
      </c>
      <c r="B408" t="s">
        <v>373</v>
      </c>
      <c r="C408" t="s">
        <v>175</v>
      </c>
      <c r="D408" t="s">
        <v>422</v>
      </c>
      <c r="E408" s="61">
        <v>0</v>
      </c>
      <c r="F408" s="61">
        <v>8129.69</v>
      </c>
      <c r="G408" s="56" t="str">
        <f>TEXT(TablaGastos[[#This Row],[Orden]],"00")&amp;" "&amp;TablaGastos[[#This Row],[Semana]]</f>
        <v>27 11 16 Mayo</v>
      </c>
      <c r="H408" s="56" t="str">
        <f>_xlfn.XLOOKUP(TablaGastos[[#This Row],[Semana]],Pivots!$U$2:$U$30,Pivots!$Y$2:$Y$30)</f>
        <v>7-May</v>
      </c>
    </row>
    <row r="409" spans="1:8" x14ac:dyDescent="0.3">
      <c r="A409">
        <v>27</v>
      </c>
      <c r="B409" t="s">
        <v>373</v>
      </c>
      <c r="C409" t="s">
        <v>254</v>
      </c>
      <c r="D409" t="s">
        <v>422</v>
      </c>
      <c r="E409" s="61">
        <v>6666.98</v>
      </c>
      <c r="F409" s="61">
        <v>0</v>
      </c>
      <c r="G409" s="56" t="str">
        <f>TEXT(TablaGastos[[#This Row],[Orden]],"00")&amp;" "&amp;TablaGastos[[#This Row],[Semana]]</f>
        <v>27 11 16 Mayo</v>
      </c>
      <c r="H409" s="56" t="str">
        <f>_xlfn.XLOOKUP(TablaGastos[[#This Row],[Semana]],Pivots!$U$2:$U$30,Pivots!$Y$2:$Y$30)</f>
        <v>7-May</v>
      </c>
    </row>
    <row r="410" spans="1:8" x14ac:dyDescent="0.3">
      <c r="A410">
        <v>27</v>
      </c>
      <c r="B410" t="s">
        <v>373</v>
      </c>
      <c r="C410" t="s">
        <v>283</v>
      </c>
      <c r="D410" t="s">
        <v>342</v>
      </c>
      <c r="E410" s="61">
        <v>7508.23</v>
      </c>
      <c r="F410" s="61">
        <v>0</v>
      </c>
      <c r="G410" s="56" t="str">
        <f>TEXT(TablaGastos[[#This Row],[Orden]],"00")&amp;" "&amp;TablaGastos[[#This Row],[Semana]]</f>
        <v>27 11 16 Mayo</v>
      </c>
      <c r="H410" s="56" t="str">
        <f>_xlfn.XLOOKUP(TablaGastos[[#This Row],[Semana]],Pivots!$U$2:$U$30,Pivots!$Y$2:$Y$30)</f>
        <v>7-May</v>
      </c>
    </row>
    <row r="411" spans="1:8" x14ac:dyDescent="0.3">
      <c r="A411">
        <v>27</v>
      </c>
      <c r="B411" t="s">
        <v>373</v>
      </c>
      <c r="C411" t="s">
        <v>137</v>
      </c>
      <c r="D411" t="s">
        <v>355</v>
      </c>
      <c r="E411" s="61">
        <v>0</v>
      </c>
      <c r="F411" s="61">
        <v>47000</v>
      </c>
      <c r="G411" s="56" t="str">
        <f>TEXT(TablaGastos[[#This Row],[Orden]],"00")&amp;" "&amp;TablaGastos[[#This Row],[Semana]]</f>
        <v>27 11 16 Mayo</v>
      </c>
      <c r="H411" s="56" t="str">
        <f>_xlfn.XLOOKUP(TablaGastos[[#This Row],[Semana]],Pivots!$U$2:$U$30,Pivots!$Y$2:$Y$30)</f>
        <v>7-May</v>
      </c>
    </row>
    <row r="412" spans="1:8" x14ac:dyDescent="0.3">
      <c r="A412">
        <v>27</v>
      </c>
      <c r="B412" t="s">
        <v>373</v>
      </c>
      <c r="C412" t="s">
        <v>11</v>
      </c>
      <c r="D412" t="s">
        <v>347</v>
      </c>
      <c r="E412" s="61">
        <v>0</v>
      </c>
      <c r="F412" s="61">
        <v>26453.74</v>
      </c>
      <c r="G412" s="56" t="str">
        <f>TEXT(TablaGastos[[#This Row],[Orden]],"00")&amp;" "&amp;TablaGastos[[#This Row],[Semana]]</f>
        <v>27 11 16 Mayo</v>
      </c>
      <c r="H412" s="56" t="str">
        <f>_xlfn.XLOOKUP(TablaGastos[[#This Row],[Semana]],Pivots!$U$2:$U$30,Pivots!$Y$2:$Y$30)</f>
        <v>7-May</v>
      </c>
    </row>
    <row r="413" spans="1:8" x14ac:dyDescent="0.3">
      <c r="A413">
        <v>27</v>
      </c>
      <c r="B413" t="s">
        <v>373</v>
      </c>
      <c r="C413" t="s">
        <v>11</v>
      </c>
      <c r="D413" t="s">
        <v>347</v>
      </c>
      <c r="E413" s="61">
        <v>0</v>
      </c>
      <c r="F413" s="61">
        <v>14592.86</v>
      </c>
      <c r="G413" s="56" t="str">
        <f>TEXT(TablaGastos[[#This Row],[Orden]],"00")&amp;" "&amp;TablaGastos[[#This Row],[Semana]]</f>
        <v>27 11 16 Mayo</v>
      </c>
      <c r="H413" s="56" t="str">
        <f>_xlfn.XLOOKUP(TablaGastos[[#This Row],[Semana]],Pivots!$U$2:$U$30,Pivots!$Y$2:$Y$30)</f>
        <v>7-May</v>
      </c>
    </row>
    <row r="414" spans="1:8" x14ac:dyDescent="0.3">
      <c r="A414">
        <v>27</v>
      </c>
      <c r="B414" t="s">
        <v>373</v>
      </c>
      <c r="C414" t="s">
        <v>223</v>
      </c>
      <c r="D414" t="s">
        <v>347</v>
      </c>
      <c r="E414" s="61">
        <v>14685.06</v>
      </c>
      <c r="F414" s="61">
        <v>0</v>
      </c>
      <c r="G414" s="56" t="str">
        <f>TEXT(TablaGastos[[#This Row],[Orden]],"00")&amp;" "&amp;TablaGastos[[#This Row],[Semana]]</f>
        <v>27 11 16 Mayo</v>
      </c>
      <c r="H414" s="56" t="str">
        <f>_xlfn.XLOOKUP(TablaGastos[[#This Row],[Semana]],Pivots!$U$2:$U$30,Pivots!$Y$2:$Y$30)</f>
        <v>7-May</v>
      </c>
    </row>
    <row r="415" spans="1:8" x14ac:dyDescent="0.3">
      <c r="A415">
        <v>27</v>
      </c>
      <c r="B415" t="s">
        <v>373</v>
      </c>
      <c r="C415" t="s">
        <v>194</v>
      </c>
      <c r="D415" t="s">
        <v>422</v>
      </c>
      <c r="E415" s="61">
        <v>0</v>
      </c>
      <c r="F415" s="61">
        <v>30740</v>
      </c>
      <c r="G415" s="56" t="str">
        <f>TEXT(TablaGastos[[#This Row],[Orden]],"00")&amp;" "&amp;TablaGastos[[#This Row],[Semana]]</f>
        <v>27 11 16 Mayo</v>
      </c>
      <c r="H415" s="56" t="str">
        <f>_xlfn.XLOOKUP(TablaGastos[[#This Row],[Semana]],Pivots!$U$2:$U$30,Pivots!$Y$2:$Y$30)</f>
        <v>7-May</v>
      </c>
    </row>
    <row r="416" spans="1:8" x14ac:dyDescent="0.3">
      <c r="A416">
        <v>27</v>
      </c>
      <c r="B416" t="s">
        <v>373</v>
      </c>
      <c r="C416" t="s">
        <v>270</v>
      </c>
      <c r="D416" t="s">
        <v>344</v>
      </c>
      <c r="E416" s="61">
        <v>0</v>
      </c>
      <c r="F416" s="61">
        <v>77738.850000000006</v>
      </c>
      <c r="G416" s="56" t="str">
        <f>TEXT(TablaGastos[[#This Row],[Orden]],"00")&amp;" "&amp;TablaGastos[[#This Row],[Semana]]</f>
        <v>27 11 16 Mayo</v>
      </c>
      <c r="H416" s="56" t="str">
        <f>_xlfn.XLOOKUP(TablaGastos[[#This Row],[Semana]],Pivots!$U$2:$U$30,Pivots!$Y$2:$Y$30)</f>
        <v>7-May</v>
      </c>
    </row>
    <row r="417" spans="1:8" x14ac:dyDescent="0.3">
      <c r="A417">
        <v>27</v>
      </c>
      <c r="B417" t="s">
        <v>373</v>
      </c>
      <c r="C417" t="s">
        <v>271</v>
      </c>
      <c r="D417" t="s">
        <v>422</v>
      </c>
      <c r="E417" s="61">
        <v>56045.4</v>
      </c>
      <c r="F417" s="61">
        <v>0</v>
      </c>
      <c r="G417" s="56" t="str">
        <f>TEXT(TablaGastos[[#This Row],[Orden]],"00")&amp;" "&amp;TablaGastos[[#This Row],[Semana]]</f>
        <v>27 11 16 Mayo</v>
      </c>
      <c r="H417" s="56" t="str">
        <f>_xlfn.XLOOKUP(TablaGastos[[#This Row],[Semana]],Pivots!$U$2:$U$30,Pivots!$Y$2:$Y$30)</f>
        <v>7-May</v>
      </c>
    </row>
    <row r="418" spans="1:8" x14ac:dyDescent="0.3">
      <c r="A418">
        <v>27</v>
      </c>
      <c r="B418" t="s">
        <v>373</v>
      </c>
      <c r="C418" t="s">
        <v>271</v>
      </c>
      <c r="D418" t="s">
        <v>422</v>
      </c>
      <c r="E418" s="61">
        <v>9802</v>
      </c>
      <c r="F418" s="61">
        <v>0</v>
      </c>
      <c r="G418" s="56" t="str">
        <f>TEXT(TablaGastos[[#This Row],[Orden]],"00")&amp;" "&amp;TablaGastos[[#This Row],[Semana]]</f>
        <v>27 11 16 Mayo</v>
      </c>
      <c r="H418" s="56" t="str">
        <f>_xlfn.XLOOKUP(TablaGastos[[#This Row],[Semana]],Pivots!$U$2:$U$30,Pivots!$Y$2:$Y$30)</f>
        <v>7-May</v>
      </c>
    </row>
    <row r="419" spans="1:8" x14ac:dyDescent="0.3">
      <c r="A419">
        <v>27</v>
      </c>
      <c r="B419" t="s">
        <v>373</v>
      </c>
      <c r="C419" t="s">
        <v>132</v>
      </c>
      <c r="D419" t="s">
        <v>421</v>
      </c>
      <c r="E419" s="61">
        <v>1292</v>
      </c>
      <c r="F419" s="61">
        <v>0</v>
      </c>
      <c r="G419" s="56" t="str">
        <f>TEXT(TablaGastos[[#This Row],[Orden]],"00")&amp;" "&amp;TablaGastos[[#This Row],[Semana]]</f>
        <v>27 11 16 Mayo</v>
      </c>
      <c r="H419" s="56" t="str">
        <f>_xlfn.XLOOKUP(TablaGastos[[#This Row],[Semana]],Pivots!$U$2:$U$30,Pivots!$Y$2:$Y$30)</f>
        <v>7-May</v>
      </c>
    </row>
    <row r="420" spans="1:8" x14ac:dyDescent="0.3">
      <c r="A420">
        <v>27</v>
      </c>
      <c r="B420" t="s">
        <v>373</v>
      </c>
      <c r="C420" t="s">
        <v>49</v>
      </c>
      <c r="D420" t="s">
        <v>342</v>
      </c>
      <c r="E420" s="61">
        <v>0</v>
      </c>
      <c r="F420" s="61">
        <v>49247.8</v>
      </c>
      <c r="G420" s="56" t="str">
        <f>TEXT(TablaGastos[[#This Row],[Orden]],"00")&amp;" "&amp;TablaGastos[[#This Row],[Semana]]</f>
        <v>27 11 16 Mayo</v>
      </c>
      <c r="H420" s="56" t="str">
        <f>_xlfn.XLOOKUP(TablaGastos[[#This Row],[Semana]],Pivots!$U$2:$U$30,Pivots!$Y$2:$Y$30)</f>
        <v>7-May</v>
      </c>
    </row>
    <row r="421" spans="1:8" x14ac:dyDescent="0.3">
      <c r="A421">
        <v>27</v>
      </c>
      <c r="B421" t="s">
        <v>373</v>
      </c>
      <c r="C421" t="s">
        <v>289</v>
      </c>
      <c r="D421" t="s">
        <v>344</v>
      </c>
      <c r="E421" s="61">
        <v>4674</v>
      </c>
      <c r="F421" s="61">
        <v>0</v>
      </c>
      <c r="G421" s="56" t="str">
        <f>TEXT(TablaGastos[[#This Row],[Orden]],"00")&amp;" "&amp;TablaGastos[[#This Row],[Semana]]</f>
        <v>27 11 16 Mayo</v>
      </c>
      <c r="H421" s="56" t="str">
        <f>_xlfn.XLOOKUP(TablaGastos[[#This Row],[Semana]],Pivots!$U$2:$U$30,Pivots!$Y$2:$Y$30)</f>
        <v>7-May</v>
      </c>
    </row>
    <row r="422" spans="1:8" x14ac:dyDescent="0.3">
      <c r="A422">
        <v>27</v>
      </c>
      <c r="B422" t="s">
        <v>373</v>
      </c>
      <c r="C422" t="s">
        <v>290</v>
      </c>
      <c r="D422" t="s">
        <v>347</v>
      </c>
      <c r="E422" s="61">
        <v>10801</v>
      </c>
      <c r="F422" s="61">
        <v>0</v>
      </c>
      <c r="G422" s="56" t="str">
        <f>TEXT(TablaGastos[[#This Row],[Orden]],"00")&amp;" "&amp;TablaGastos[[#This Row],[Semana]]</f>
        <v>27 11 16 Mayo</v>
      </c>
      <c r="H422" s="56" t="str">
        <f>_xlfn.XLOOKUP(TablaGastos[[#This Row],[Semana]],Pivots!$U$2:$U$30,Pivots!$Y$2:$Y$30)</f>
        <v>7-May</v>
      </c>
    </row>
    <row r="423" spans="1:8" x14ac:dyDescent="0.3">
      <c r="A423">
        <v>28</v>
      </c>
      <c r="B423" t="s">
        <v>374</v>
      </c>
      <c r="C423" t="s">
        <v>30</v>
      </c>
      <c r="D423" t="s">
        <v>342</v>
      </c>
      <c r="E423" s="61">
        <v>110000</v>
      </c>
      <c r="F423" s="61">
        <v>0</v>
      </c>
      <c r="G423" s="56" t="str">
        <f>TEXT(TablaGastos[[#This Row],[Orden]],"00")&amp;" "&amp;TablaGastos[[#This Row],[Semana]]</f>
        <v>28 18 23 Mayo</v>
      </c>
      <c r="H423" s="56" t="str">
        <f>_xlfn.XLOOKUP(TablaGastos[[#This Row],[Semana]],Pivots!$U$2:$U$30,Pivots!$Y$2:$Y$30)</f>
        <v>7-May</v>
      </c>
    </row>
    <row r="424" spans="1:8" x14ac:dyDescent="0.3">
      <c r="A424">
        <v>28</v>
      </c>
      <c r="B424" t="s">
        <v>374</v>
      </c>
      <c r="C424" t="s">
        <v>292</v>
      </c>
      <c r="D424" t="s">
        <v>342</v>
      </c>
      <c r="E424" s="61">
        <v>10000</v>
      </c>
      <c r="F424" s="61">
        <v>0</v>
      </c>
      <c r="G424" s="56" t="str">
        <f>TEXT(TablaGastos[[#This Row],[Orden]],"00")&amp;" "&amp;TablaGastos[[#This Row],[Semana]]</f>
        <v>28 18 23 Mayo</v>
      </c>
      <c r="H424" s="56" t="str">
        <f>_xlfn.XLOOKUP(TablaGastos[[#This Row],[Semana]],Pivots!$U$2:$U$30,Pivots!$Y$2:$Y$30)</f>
        <v>7-May</v>
      </c>
    </row>
    <row r="425" spans="1:8" x14ac:dyDescent="0.3">
      <c r="A425">
        <v>28</v>
      </c>
      <c r="B425" t="s">
        <v>374</v>
      </c>
      <c r="C425" t="s">
        <v>294</v>
      </c>
      <c r="D425" t="s">
        <v>342</v>
      </c>
      <c r="E425" s="61">
        <v>0</v>
      </c>
      <c r="F425" s="61">
        <v>20000</v>
      </c>
      <c r="G425" s="56" t="str">
        <f>TEXT(TablaGastos[[#This Row],[Orden]],"00")&amp;" "&amp;TablaGastos[[#This Row],[Semana]]</f>
        <v>28 18 23 Mayo</v>
      </c>
      <c r="H425" s="56" t="str">
        <f>_xlfn.XLOOKUP(TablaGastos[[#This Row],[Semana]],Pivots!$U$2:$U$30,Pivots!$Y$2:$Y$30)</f>
        <v>7-May</v>
      </c>
    </row>
    <row r="426" spans="1:8" x14ac:dyDescent="0.3">
      <c r="A426">
        <v>28</v>
      </c>
      <c r="B426" t="s">
        <v>374</v>
      </c>
      <c r="C426" t="s">
        <v>41</v>
      </c>
      <c r="D426" t="s">
        <v>342</v>
      </c>
      <c r="E426" s="61">
        <v>27000</v>
      </c>
      <c r="F426" s="61">
        <v>0</v>
      </c>
      <c r="G426" s="56" t="str">
        <f>TEXT(TablaGastos[[#This Row],[Orden]],"00")&amp;" "&amp;TablaGastos[[#This Row],[Semana]]</f>
        <v>28 18 23 Mayo</v>
      </c>
      <c r="H426" s="56" t="str">
        <f>_xlfn.XLOOKUP(TablaGastos[[#This Row],[Semana]],Pivots!$U$2:$U$30,Pivots!$Y$2:$Y$30)</f>
        <v>7-May</v>
      </c>
    </row>
    <row r="427" spans="1:8" x14ac:dyDescent="0.3">
      <c r="A427">
        <v>28</v>
      </c>
      <c r="B427" t="s">
        <v>374</v>
      </c>
      <c r="C427" t="s">
        <v>107</v>
      </c>
      <c r="D427" t="s">
        <v>421</v>
      </c>
      <c r="E427" s="61">
        <v>8670.8160000000007</v>
      </c>
      <c r="F427" s="61">
        <v>0</v>
      </c>
      <c r="G427" s="56" t="str">
        <f>TEXT(TablaGastos[[#This Row],[Orden]],"00")&amp;" "&amp;TablaGastos[[#This Row],[Semana]]</f>
        <v>28 18 23 Mayo</v>
      </c>
      <c r="H427" s="56" t="str">
        <f>_xlfn.XLOOKUP(TablaGastos[[#This Row],[Semana]],Pivots!$U$2:$U$30,Pivots!$Y$2:$Y$30)</f>
        <v>7-May</v>
      </c>
    </row>
    <row r="428" spans="1:8" x14ac:dyDescent="0.3">
      <c r="A428">
        <v>28</v>
      </c>
      <c r="B428" t="s">
        <v>374</v>
      </c>
      <c r="C428" t="s">
        <v>37</v>
      </c>
      <c r="D428" t="s">
        <v>342</v>
      </c>
      <c r="E428" s="61">
        <v>0</v>
      </c>
      <c r="F428" s="61">
        <v>10000</v>
      </c>
      <c r="G428" s="56" t="str">
        <f>TEXT(TablaGastos[[#This Row],[Orden]],"00")&amp;" "&amp;TablaGastos[[#This Row],[Semana]]</f>
        <v>28 18 23 Mayo</v>
      </c>
      <c r="H428" s="56" t="str">
        <f>_xlfn.XLOOKUP(TablaGastos[[#This Row],[Semana]],Pivots!$U$2:$U$30,Pivots!$Y$2:$Y$30)</f>
        <v>7-May</v>
      </c>
    </row>
    <row r="429" spans="1:8" x14ac:dyDescent="0.3">
      <c r="A429">
        <v>28</v>
      </c>
      <c r="B429" t="s">
        <v>374</v>
      </c>
      <c r="C429" t="s">
        <v>221</v>
      </c>
      <c r="D429" t="s">
        <v>422</v>
      </c>
      <c r="E429" s="61">
        <v>0</v>
      </c>
      <c r="F429" s="61">
        <v>32480</v>
      </c>
      <c r="G429" s="56" t="str">
        <f>TEXT(TablaGastos[[#This Row],[Orden]],"00")&amp;" "&amp;TablaGastos[[#This Row],[Semana]]</f>
        <v>28 18 23 Mayo</v>
      </c>
      <c r="H429" s="56" t="str">
        <f>_xlfn.XLOOKUP(TablaGastos[[#This Row],[Semana]],Pivots!$U$2:$U$30,Pivots!$Y$2:$Y$30)</f>
        <v>7-May</v>
      </c>
    </row>
    <row r="430" spans="1:8" x14ac:dyDescent="0.3">
      <c r="A430">
        <v>28</v>
      </c>
      <c r="B430" t="s">
        <v>374</v>
      </c>
      <c r="C430" t="s">
        <v>7</v>
      </c>
      <c r="D430" t="s">
        <v>421</v>
      </c>
      <c r="E430" s="61">
        <v>0</v>
      </c>
      <c r="F430" s="61">
        <v>3886</v>
      </c>
      <c r="G430" s="56" t="str">
        <f>TEXT(TablaGastos[[#This Row],[Orden]],"00")&amp;" "&amp;TablaGastos[[#This Row],[Semana]]</f>
        <v>28 18 23 Mayo</v>
      </c>
      <c r="H430" s="56" t="str">
        <f>_xlfn.XLOOKUP(TablaGastos[[#This Row],[Semana]],Pivots!$U$2:$U$30,Pivots!$Y$2:$Y$30)</f>
        <v>7-May</v>
      </c>
    </row>
    <row r="431" spans="1:8" x14ac:dyDescent="0.3">
      <c r="A431">
        <v>28</v>
      </c>
      <c r="B431" t="s">
        <v>374</v>
      </c>
      <c r="C431" t="s">
        <v>300</v>
      </c>
      <c r="D431" t="s">
        <v>344</v>
      </c>
      <c r="E431" s="61">
        <v>1044</v>
      </c>
      <c r="F431" s="61">
        <v>0</v>
      </c>
      <c r="G431" s="56" t="str">
        <f>TEXT(TablaGastos[[#This Row],[Orden]],"00")&amp;" "&amp;TablaGastos[[#This Row],[Semana]]</f>
        <v>28 18 23 Mayo</v>
      </c>
      <c r="H431" s="56" t="str">
        <f>_xlfn.XLOOKUP(TablaGastos[[#This Row],[Semana]],Pivots!$U$2:$U$30,Pivots!$Y$2:$Y$30)</f>
        <v>7-May</v>
      </c>
    </row>
    <row r="432" spans="1:8" x14ac:dyDescent="0.3">
      <c r="A432">
        <v>28</v>
      </c>
      <c r="B432" t="s">
        <v>374</v>
      </c>
      <c r="C432" t="s">
        <v>280</v>
      </c>
      <c r="D432" t="s">
        <v>422</v>
      </c>
      <c r="E432" s="61">
        <v>0</v>
      </c>
      <c r="F432" s="61">
        <v>3596.65</v>
      </c>
      <c r="G432" s="56" t="str">
        <f>TEXT(TablaGastos[[#This Row],[Orden]],"00")&amp;" "&amp;TablaGastos[[#This Row],[Semana]]</f>
        <v>28 18 23 Mayo</v>
      </c>
      <c r="H432" s="56" t="str">
        <f>_xlfn.XLOOKUP(TablaGastos[[#This Row],[Semana]],Pivots!$U$2:$U$30,Pivots!$Y$2:$Y$30)</f>
        <v>7-May</v>
      </c>
    </row>
    <row r="433" spans="1:8" x14ac:dyDescent="0.3">
      <c r="A433">
        <v>28</v>
      </c>
      <c r="B433" t="s">
        <v>374</v>
      </c>
      <c r="C433" t="s">
        <v>302</v>
      </c>
      <c r="D433" t="s">
        <v>421</v>
      </c>
      <c r="E433" s="61">
        <v>0</v>
      </c>
      <c r="F433" s="61">
        <v>8952.2999999999993</v>
      </c>
      <c r="G433" s="56" t="str">
        <f>TEXT(TablaGastos[[#This Row],[Orden]],"00")&amp;" "&amp;TablaGastos[[#This Row],[Semana]]</f>
        <v>28 18 23 Mayo</v>
      </c>
      <c r="H433" s="56" t="str">
        <f>_xlfn.XLOOKUP(TablaGastos[[#This Row],[Semana]],Pivots!$U$2:$U$30,Pivots!$Y$2:$Y$30)</f>
        <v>7-May</v>
      </c>
    </row>
    <row r="434" spans="1:8" x14ac:dyDescent="0.3">
      <c r="A434">
        <v>28</v>
      </c>
      <c r="B434" t="s">
        <v>374</v>
      </c>
      <c r="C434" t="s">
        <v>134</v>
      </c>
      <c r="D434" t="s">
        <v>344</v>
      </c>
      <c r="E434" s="61">
        <v>0</v>
      </c>
      <c r="F434" s="61">
        <v>2033</v>
      </c>
      <c r="G434" s="56" t="str">
        <f>TEXT(TablaGastos[[#This Row],[Orden]],"00")&amp;" "&amp;TablaGastos[[#This Row],[Semana]]</f>
        <v>28 18 23 Mayo</v>
      </c>
      <c r="H434" s="56" t="str">
        <f>_xlfn.XLOOKUP(TablaGastos[[#This Row],[Semana]],Pivots!$U$2:$U$30,Pivots!$Y$2:$Y$30)</f>
        <v>7-May</v>
      </c>
    </row>
    <row r="435" spans="1:8" x14ac:dyDescent="0.3">
      <c r="A435">
        <v>28</v>
      </c>
      <c r="B435" t="s">
        <v>374</v>
      </c>
      <c r="C435" t="s">
        <v>175</v>
      </c>
      <c r="D435" t="s">
        <v>422</v>
      </c>
      <c r="E435" s="61">
        <v>0</v>
      </c>
      <c r="F435" s="61">
        <v>8129.69</v>
      </c>
      <c r="G435" s="56" t="str">
        <f>TEXT(TablaGastos[[#This Row],[Orden]],"00")&amp;" "&amp;TablaGastos[[#This Row],[Semana]]</f>
        <v>28 18 23 Mayo</v>
      </c>
      <c r="H435" s="56" t="str">
        <f>_xlfn.XLOOKUP(TablaGastos[[#This Row],[Semana]],Pivots!$U$2:$U$30,Pivots!$Y$2:$Y$30)</f>
        <v>7-May</v>
      </c>
    </row>
    <row r="436" spans="1:8" x14ac:dyDescent="0.3">
      <c r="A436">
        <v>28</v>
      </c>
      <c r="B436" t="s">
        <v>374</v>
      </c>
      <c r="C436" t="s">
        <v>307</v>
      </c>
      <c r="D436" t="s">
        <v>422</v>
      </c>
      <c r="E436" s="61">
        <v>7134</v>
      </c>
      <c r="F436" s="61">
        <v>0</v>
      </c>
      <c r="G436" s="56" t="str">
        <f>TEXT(TablaGastos[[#This Row],[Orden]],"00")&amp;" "&amp;TablaGastos[[#This Row],[Semana]]</f>
        <v>28 18 23 Mayo</v>
      </c>
      <c r="H436" s="56" t="str">
        <f>_xlfn.XLOOKUP(TablaGastos[[#This Row],[Semana]],Pivots!$U$2:$U$30,Pivots!$Y$2:$Y$30)</f>
        <v>7-May</v>
      </c>
    </row>
    <row r="437" spans="1:8" x14ac:dyDescent="0.3">
      <c r="A437">
        <v>28</v>
      </c>
      <c r="B437" t="s">
        <v>374</v>
      </c>
      <c r="C437" t="s">
        <v>308</v>
      </c>
      <c r="D437" t="s">
        <v>422</v>
      </c>
      <c r="E437" s="61">
        <v>3596</v>
      </c>
      <c r="F437" s="61">
        <v>0</v>
      </c>
      <c r="G437" s="56" t="str">
        <f>TEXT(TablaGastos[[#This Row],[Orden]],"00")&amp;" "&amp;TablaGastos[[#This Row],[Semana]]</f>
        <v>28 18 23 Mayo</v>
      </c>
      <c r="H437" s="56" t="str">
        <f>_xlfn.XLOOKUP(TablaGastos[[#This Row],[Semana]],Pivots!$U$2:$U$30,Pivots!$Y$2:$Y$30)</f>
        <v>7-May</v>
      </c>
    </row>
    <row r="438" spans="1:8" x14ac:dyDescent="0.3">
      <c r="A438">
        <v>28</v>
      </c>
      <c r="B438" t="s">
        <v>374</v>
      </c>
      <c r="C438" t="s">
        <v>137</v>
      </c>
      <c r="D438" t="s">
        <v>355</v>
      </c>
      <c r="E438" s="61">
        <v>0</v>
      </c>
      <c r="F438" s="61">
        <v>47000</v>
      </c>
      <c r="G438" s="56" t="str">
        <f>TEXT(TablaGastos[[#This Row],[Orden]],"00")&amp;" "&amp;TablaGastos[[#This Row],[Semana]]</f>
        <v>28 18 23 Mayo</v>
      </c>
      <c r="H438" s="56" t="str">
        <f>_xlfn.XLOOKUP(TablaGastos[[#This Row],[Semana]],Pivots!$U$2:$U$30,Pivots!$Y$2:$Y$30)</f>
        <v>7-May</v>
      </c>
    </row>
    <row r="439" spans="1:8" x14ac:dyDescent="0.3">
      <c r="A439">
        <v>28</v>
      </c>
      <c r="B439" t="s">
        <v>374</v>
      </c>
      <c r="C439" t="s">
        <v>11</v>
      </c>
      <c r="D439" t="s">
        <v>347</v>
      </c>
      <c r="E439" s="61">
        <v>0</v>
      </c>
      <c r="F439" s="61">
        <v>52907.48</v>
      </c>
      <c r="G439" s="56" t="str">
        <f>TEXT(TablaGastos[[#This Row],[Orden]],"00")&amp;" "&amp;TablaGastos[[#This Row],[Semana]]</f>
        <v>28 18 23 Mayo</v>
      </c>
      <c r="H439" s="56" t="str">
        <f>_xlfn.XLOOKUP(TablaGastos[[#This Row],[Semana]],Pivots!$U$2:$U$30,Pivots!$Y$2:$Y$30)</f>
        <v>7-May</v>
      </c>
    </row>
    <row r="440" spans="1:8" x14ac:dyDescent="0.3">
      <c r="A440">
        <v>28</v>
      </c>
      <c r="B440" t="s">
        <v>374</v>
      </c>
      <c r="C440" t="s">
        <v>11</v>
      </c>
      <c r="D440" t="s">
        <v>347</v>
      </c>
      <c r="E440" s="61">
        <v>0</v>
      </c>
      <c r="F440" s="61">
        <v>14592.86</v>
      </c>
      <c r="G440" s="56" t="str">
        <f>TEXT(TablaGastos[[#This Row],[Orden]],"00")&amp;" "&amp;TablaGastos[[#This Row],[Semana]]</f>
        <v>28 18 23 Mayo</v>
      </c>
      <c r="H440" s="56" t="str">
        <f>_xlfn.XLOOKUP(TablaGastos[[#This Row],[Semana]],Pivots!$U$2:$U$30,Pivots!$Y$2:$Y$30)</f>
        <v>7-May</v>
      </c>
    </row>
    <row r="441" spans="1:8" x14ac:dyDescent="0.3">
      <c r="A441">
        <v>28</v>
      </c>
      <c r="B441" t="s">
        <v>374</v>
      </c>
      <c r="C441" t="s">
        <v>194</v>
      </c>
      <c r="D441" t="s">
        <v>422</v>
      </c>
      <c r="E441" s="61">
        <v>0</v>
      </c>
      <c r="F441" s="61">
        <v>30740</v>
      </c>
      <c r="G441" s="56" t="str">
        <f>TEXT(TablaGastos[[#This Row],[Orden]],"00")&amp;" "&amp;TablaGastos[[#This Row],[Semana]]</f>
        <v>28 18 23 Mayo</v>
      </c>
      <c r="H441" s="56" t="str">
        <f>_xlfn.XLOOKUP(TablaGastos[[#This Row],[Semana]],Pivots!$U$2:$U$30,Pivots!$Y$2:$Y$30)</f>
        <v>7-May</v>
      </c>
    </row>
    <row r="442" spans="1:8" x14ac:dyDescent="0.3">
      <c r="A442">
        <v>28</v>
      </c>
      <c r="B442" t="s">
        <v>374</v>
      </c>
      <c r="C442" t="s">
        <v>311</v>
      </c>
      <c r="D442" t="s">
        <v>355</v>
      </c>
      <c r="E442" s="61">
        <v>2729</v>
      </c>
      <c r="F442" s="61">
        <v>0</v>
      </c>
      <c r="G442" s="56" t="str">
        <f>TEXT(TablaGastos[[#This Row],[Orden]],"00")&amp;" "&amp;TablaGastos[[#This Row],[Semana]]</f>
        <v>28 18 23 Mayo</v>
      </c>
      <c r="H442" s="56" t="str">
        <f>_xlfn.XLOOKUP(TablaGastos[[#This Row],[Semana]],Pivots!$U$2:$U$30,Pivots!$Y$2:$Y$30)</f>
        <v>7-May</v>
      </c>
    </row>
    <row r="443" spans="1:8" x14ac:dyDescent="0.3">
      <c r="A443">
        <v>28</v>
      </c>
      <c r="B443" t="s">
        <v>374</v>
      </c>
      <c r="C443" t="s">
        <v>270</v>
      </c>
      <c r="D443" t="s">
        <v>344</v>
      </c>
      <c r="E443" s="61">
        <v>0</v>
      </c>
      <c r="F443" s="61">
        <v>77738.850000000006</v>
      </c>
      <c r="G443" s="56" t="str">
        <f>TEXT(TablaGastos[[#This Row],[Orden]],"00")&amp;" "&amp;TablaGastos[[#This Row],[Semana]]</f>
        <v>28 18 23 Mayo</v>
      </c>
      <c r="H443" s="56" t="str">
        <f>_xlfn.XLOOKUP(TablaGastos[[#This Row],[Semana]],Pivots!$U$2:$U$30,Pivots!$Y$2:$Y$30)</f>
        <v>7-May</v>
      </c>
    </row>
    <row r="444" spans="1:8" x14ac:dyDescent="0.3">
      <c r="A444">
        <v>28</v>
      </c>
      <c r="B444" t="s">
        <v>374</v>
      </c>
      <c r="C444" t="s">
        <v>271</v>
      </c>
      <c r="D444" t="s">
        <v>422</v>
      </c>
      <c r="E444" s="61">
        <v>14697.2</v>
      </c>
      <c r="F444" s="61">
        <v>0</v>
      </c>
      <c r="G444" s="56" t="str">
        <f>TEXT(TablaGastos[[#This Row],[Orden]],"00")&amp;" "&amp;TablaGastos[[#This Row],[Semana]]</f>
        <v>28 18 23 Mayo</v>
      </c>
      <c r="H444" s="56" t="str">
        <f>_xlfn.XLOOKUP(TablaGastos[[#This Row],[Semana]],Pivots!$U$2:$U$30,Pivots!$Y$2:$Y$30)</f>
        <v>7-May</v>
      </c>
    </row>
    <row r="445" spans="1:8" x14ac:dyDescent="0.3">
      <c r="A445">
        <v>28</v>
      </c>
      <c r="B445" t="s">
        <v>374</v>
      </c>
      <c r="C445" t="s">
        <v>241</v>
      </c>
      <c r="D445" t="s">
        <v>421</v>
      </c>
      <c r="E445" s="61">
        <v>0</v>
      </c>
      <c r="F445" s="61">
        <v>6086.26</v>
      </c>
      <c r="G445" s="56" t="str">
        <f>TEXT(TablaGastos[[#This Row],[Orden]],"00")&amp;" "&amp;TablaGastos[[#This Row],[Semana]]</f>
        <v>28 18 23 Mayo</v>
      </c>
      <c r="H445" s="56" t="str">
        <f>_xlfn.XLOOKUP(TablaGastos[[#This Row],[Semana]],Pivots!$U$2:$U$30,Pivots!$Y$2:$Y$30)</f>
        <v>7-May</v>
      </c>
    </row>
    <row r="446" spans="1:8" x14ac:dyDescent="0.3">
      <c r="A446">
        <v>28</v>
      </c>
      <c r="B446" t="s">
        <v>374</v>
      </c>
      <c r="C446" t="s">
        <v>315</v>
      </c>
      <c r="D446" t="s">
        <v>344</v>
      </c>
      <c r="E446" s="61">
        <v>1551</v>
      </c>
      <c r="F446" s="61">
        <v>0</v>
      </c>
      <c r="G446" s="56" t="str">
        <f>TEXT(TablaGastos[[#This Row],[Orden]],"00")&amp;" "&amp;TablaGastos[[#This Row],[Semana]]</f>
        <v>28 18 23 Mayo</v>
      </c>
      <c r="H446" s="56" t="str">
        <f>_xlfn.XLOOKUP(TablaGastos[[#This Row],[Semana]],Pivots!$U$2:$U$30,Pivots!$Y$2:$Y$30)</f>
        <v>7-May</v>
      </c>
    </row>
    <row r="447" spans="1:8" x14ac:dyDescent="0.3">
      <c r="A447">
        <v>28</v>
      </c>
      <c r="B447" t="s">
        <v>374</v>
      </c>
      <c r="C447" t="s">
        <v>316</v>
      </c>
      <c r="D447" t="s">
        <v>347</v>
      </c>
      <c r="E447" s="61">
        <v>0</v>
      </c>
      <c r="F447" s="61">
        <v>13428</v>
      </c>
      <c r="G447" s="56" t="str">
        <f>TEXT(TablaGastos[[#This Row],[Orden]],"00")&amp;" "&amp;TablaGastos[[#This Row],[Semana]]</f>
        <v>28 18 23 Mayo</v>
      </c>
      <c r="H447" s="56" t="str">
        <f>_xlfn.XLOOKUP(TablaGastos[[#This Row],[Semana]],Pivots!$U$2:$U$30,Pivots!$Y$2:$Y$30)</f>
        <v>7-May</v>
      </c>
    </row>
    <row r="448" spans="1:8" x14ac:dyDescent="0.3">
      <c r="A448">
        <v>29</v>
      </c>
      <c r="B448" t="s">
        <v>375</v>
      </c>
      <c r="C448" t="s">
        <v>30</v>
      </c>
      <c r="D448" t="s">
        <v>342</v>
      </c>
      <c r="E448" s="61">
        <v>110000</v>
      </c>
      <c r="F448" s="61">
        <v>0</v>
      </c>
      <c r="G448" s="56" t="str">
        <f>TEXT(TablaGastos[[#This Row],[Orden]],"00")&amp;" "&amp;TablaGastos[[#This Row],[Semana]]</f>
        <v>29 25 30 Mayo</v>
      </c>
      <c r="H448" s="56" t="str">
        <f>_xlfn.XLOOKUP(TablaGastos[[#This Row],[Semana]],Pivots!$U$2:$U$30,Pivots!$Y$2:$Y$30)</f>
        <v>7-May</v>
      </c>
    </row>
    <row r="449" spans="1:8" x14ac:dyDescent="0.3">
      <c r="A449">
        <v>29</v>
      </c>
      <c r="B449" t="s">
        <v>375</v>
      </c>
      <c r="C449" t="s">
        <v>41</v>
      </c>
      <c r="D449" t="s">
        <v>342</v>
      </c>
      <c r="E449" s="61">
        <v>25000</v>
      </c>
      <c r="F449" s="61">
        <v>0</v>
      </c>
      <c r="G449" s="56" t="str">
        <f>TEXT(TablaGastos[[#This Row],[Orden]],"00")&amp;" "&amp;TablaGastos[[#This Row],[Semana]]</f>
        <v>29 25 30 Mayo</v>
      </c>
      <c r="H449" s="56" t="str">
        <f>_xlfn.XLOOKUP(TablaGastos[[#This Row],[Semana]],Pivots!$U$2:$U$30,Pivots!$Y$2:$Y$30)</f>
        <v>7-May</v>
      </c>
    </row>
    <row r="450" spans="1:8" x14ac:dyDescent="0.3">
      <c r="A450">
        <v>29</v>
      </c>
      <c r="B450" t="s">
        <v>375</v>
      </c>
      <c r="C450" t="s">
        <v>107</v>
      </c>
      <c r="D450" t="s">
        <v>421</v>
      </c>
      <c r="E450" s="61">
        <v>13091.4</v>
      </c>
      <c r="F450" s="61">
        <v>0</v>
      </c>
      <c r="G450" s="56" t="str">
        <f>TEXT(TablaGastos[[#This Row],[Orden]],"00")&amp;" "&amp;TablaGastos[[#This Row],[Semana]]</f>
        <v>29 25 30 Mayo</v>
      </c>
      <c r="H450" s="56" t="str">
        <f>_xlfn.XLOOKUP(TablaGastos[[#This Row],[Semana]],Pivots!$U$2:$U$30,Pivots!$Y$2:$Y$30)</f>
        <v>7-May</v>
      </c>
    </row>
    <row r="451" spans="1:8" x14ac:dyDescent="0.3">
      <c r="A451">
        <v>29</v>
      </c>
      <c r="B451" t="s">
        <v>375</v>
      </c>
      <c r="C451" t="s">
        <v>2</v>
      </c>
      <c r="D451" t="s">
        <v>342</v>
      </c>
      <c r="E451" s="61">
        <v>0</v>
      </c>
      <c r="F451" s="61">
        <v>40000</v>
      </c>
      <c r="G451" s="56" t="str">
        <f>TEXT(TablaGastos[[#This Row],[Orden]],"00")&amp;" "&amp;TablaGastos[[#This Row],[Semana]]</f>
        <v>29 25 30 Mayo</v>
      </c>
      <c r="H451" s="56" t="str">
        <f>_xlfn.XLOOKUP(TablaGastos[[#This Row],[Semana]],Pivots!$U$2:$U$30,Pivots!$Y$2:$Y$30)</f>
        <v>7-May</v>
      </c>
    </row>
    <row r="452" spans="1:8" x14ac:dyDescent="0.3">
      <c r="A452">
        <v>29</v>
      </c>
      <c r="B452" t="s">
        <v>375</v>
      </c>
      <c r="C452" t="s">
        <v>37</v>
      </c>
      <c r="D452" t="s">
        <v>342</v>
      </c>
      <c r="E452" s="61">
        <v>10000</v>
      </c>
      <c r="F452" s="61">
        <v>0</v>
      </c>
      <c r="G452" s="56" t="str">
        <f>TEXT(TablaGastos[[#This Row],[Orden]],"00")&amp;" "&amp;TablaGastos[[#This Row],[Semana]]</f>
        <v>29 25 30 Mayo</v>
      </c>
      <c r="H452" s="56" t="str">
        <f>_xlfn.XLOOKUP(TablaGastos[[#This Row],[Semana]],Pivots!$U$2:$U$30,Pivots!$Y$2:$Y$30)</f>
        <v>7-May</v>
      </c>
    </row>
    <row r="453" spans="1:8" x14ac:dyDescent="0.3">
      <c r="A453">
        <v>29</v>
      </c>
      <c r="B453" t="s">
        <v>375</v>
      </c>
      <c r="C453" t="s">
        <v>221</v>
      </c>
      <c r="D453" t="s">
        <v>422</v>
      </c>
      <c r="E453" s="61">
        <v>0</v>
      </c>
      <c r="F453" s="61">
        <v>32480</v>
      </c>
      <c r="G453" s="56" t="str">
        <f>TEXT(TablaGastos[[#This Row],[Orden]],"00")&amp;" "&amp;TablaGastos[[#This Row],[Semana]]</f>
        <v>29 25 30 Mayo</v>
      </c>
      <c r="H453" s="56" t="str">
        <f>_xlfn.XLOOKUP(TablaGastos[[#This Row],[Semana]],Pivots!$U$2:$U$30,Pivots!$Y$2:$Y$30)</f>
        <v>7-May</v>
      </c>
    </row>
    <row r="454" spans="1:8" x14ac:dyDescent="0.3">
      <c r="A454">
        <v>29</v>
      </c>
      <c r="B454" t="s">
        <v>375</v>
      </c>
      <c r="C454" t="s">
        <v>317</v>
      </c>
      <c r="D454" t="s">
        <v>421</v>
      </c>
      <c r="E454" s="61">
        <v>0</v>
      </c>
      <c r="F454" s="61">
        <v>3886</v>
      </c>
      <c r="G454" s="56" t="str">
        <f>TEXT(TablaGastos[[#This Row],[Orden]],"00")&amp;" "&amp;TablaGastos[[#This Row],[Semana]]</f>
        <v>29 25 30 Mayo</v>
      </c>
      <c r="H454" s="56" t="str">
        <f>_xlfn.XLOOKUP(TablaGastos[[#This Row],[Semana]],Pivots!$U$2:$U$30,Pivots!$Y$2:$Y$30)</f>
        <v>7-May</v>
      </c>
    </row>
    <row r="455" spans="1:8" x14ac:dyDescent="0.3">
      <c r="A455">
        <v>29</v>
      </c>
      <c r="B455" t="s">
        <v>375</v>
      </c>
      <c r="C455" t="s">
        <v>280</v>
      </c>
      <c r="D455" t="s">
        <v>422</v>
      </c>
      <c r="E455" s="61">
        <v>4172.1099999999997</v>
      </c>
      <c r="F455" s="61">
        <v>0</v>
      </c>
      <c r="G455" s="56" t="str">
        <f>TEXT(TablaGastos[[#This Row],[Orden]],"00")&amp;" "&amp;TablaGastos[[#This Row],[Semana]]</f>
        <v>29 25 30 Mayo</v>
      </c>
      <c r="H455" s="56" t="str">
        <f>_xlfn.XLOOKUP(TablaGastos[[#This Row],[Semana]],Pivots!$U$2:$U$30,Pivots!$Y$2:$Y$30)</f>
        <v>7-May</v>
      </c>
    </row>
    <row r="456" spans="1:8" x14ac:dyDescent="0.3">
      <c r="A456">
        <v>29</v>
      </c>
      <c r="B456" t="s">
        <v>375</v>
      </c>
      <c r="C456" t="s">
        <v>302</v>
      </c>
      <c r="D456" t="s">
        <v>421</v>
      </c>
      <c r="E456" s="61">
        <v>0</v>
      </c>
      <c r="F456" s="61">
        <v>8952.2999999999993</v>
      </c>
      <c r="G456" s="56" t="str">
        <f>TEXT(TablaGastos[[#This Row],[Orden]],"00")&amp;" "&amp;TablaGastos[[#This Row],[Semana]]</f>
        <v>29 25 30 Mayo</v>
      </c>
      <c r="H456" s="56" t="str">
        <f>_xlfn.XLOOKUP(TablaGastos[[#This Row],[Semana]],Pivots!$U$2:$U$30,Pivots!$Y$2:$Y$30)</f>
        <v>7-May</v>
      </c>
    </row>
    <row r="457" spans="1:8" x14ac:dyDescent="0.3">
      <c r="A457">
        <v>29</v>
      </c>
      <c r="B457" t="s">
        <v>375</v>
      </c>
      <c r="C457" t="s">
        <v>134</v>
      </c>
      <c r="D457" t="s">
        <v>344</v>
      </c>
      <c r="E457" s="61">
        <v>0</v>
      </c>
      <c r="F457" s="61">
        <v>2033</v>
      </c>
      <c r="G457" s="56" t="str">
        <f>TEXT(TablaGastos[[#This Row],[Orden]],"00")&amp;" "&amp;TablaGastos[[#This Row],[Semana]]</f>
        <v>29 25 30 Mayo</v>
      </c>
      <c r="H457" s="56" t="str">
        <f>_xlfn.XLOOKUP(TablaGastos[[#This Row],[Semana]],Pivots!$U$2:$U$30,Pivots!$Y$2:$Y$30)</f>
        <v>7-May</v>
      </c>
    </row>
    <row r="458" spans="1:8" x14ac:dyDescent="0.3">
      <c r="A458">
        <v>29</v>
      </c>
      <c r="B458" t="s">
        <v>375</v>
      </c>
      <c r="C458" t="s">
        <v>175</v>
      </c>
      <c r="D458" t="s">
        <v>422</v>
      </c>
      <c r="E458" s="61">
        <v>0</v>
      </c>
      <c r="F458" s="61">
        <v>8129.69</v>
      </c>
      <c r="G458" s="56" t="str">
        <f>TEXT(TablaGastos[[#This Row],[Orden]],"00")&amp;" "&amp;TablaGastos[[#This Row],[Semana]]</f>
        <v>29 25 30 Mayo</v>
      </c>
      <c r="H458" s="56" t="str">
        <f>_xlfn.XLOOKUP(TablaGastos[[#This Row],[Semana]],Pivots!$U$2:$U$30,Pivots!$Y$2:$Y$30)</f>
        <v>7-May</v>
      </c>
    </row>
    <row r="459" spans="1:8" x14ac:dyDescent="0.3">
      <c r="A459">
        <v>29</v>
      </c>
      <c r="B459" t="s">
        <v>375</v>
      </c>
      <c r="C459" t="s">
        <v>318</v>
      </c>
      <c r="D459" t="s">
        <v>422</v>
      </c>
      <c r="E459" s="61">
        <v>1783</v>
      </c>
      <c r="F459" s="61">
        <v>0</v>
      </c>
      <c r="G459" s="56" t="str">
        <f>TEXT(TablaGastos[[#This Row],[Orden]],"00")&amp;" "&amp;TablaGastos[[#This Row],[Semana]]</f>
        <v>29 25 30 Mayo</v>
      </c>
      <c r="H459" s="56" t="str">
        <f>_xlfn.XLOOKUP(TablaGastos[[#This Row],[Semana]],Pivots!$U$2:$U$30,Pivots!$Y$2:$Y$30)</f>
        <v>7-May</v>
      </c>
    </row>
    <row r="460" spans="1:8" x14ac:dyDescent="0.3">
      <c r="A460">
        <v>29</v>
      </c>
      <c r="B460" t="s">
        <v>375</v>
      </c>
      <c r="C460" t="s">
        <v>308</v>
      </c>
      <c r="D460" t="s">
        <v>422</v>
      </c>
      <c r="E460" s="61">
        <v>3596</v>
      </c>
      <c r="F460" s="61">
        <v>0</v>
      </c>
      <c r="G460" s="56" t="str">
        <f>TEXT(TablaGastos[[#This Row],[Orden]],"00")&amp;" "&amp;TablaGastos[[#This Row],[Semana]]</f>
        <v>29 25 30 Mayo</v>
      </c>
      <c r="H460" s="56" t="str">
        <f>_xlfn.XLOOKUP(TablaGastos[[#This Row],[Semana]],Pivots!$U$2:$U$30,Pivots!$Y$2:$Y$30)</f>
        <v>7-May</v>
      </c>
    </row>
    <row r="461" spans="1:8" x14ac:dyDescent="0.3">
      <c r="A461">
        <v>29</v>
      </c>
      <c r="B461" t="s">
        <v>375</v>
      </c>
      <c r="C461" t="s">
        <v>137</v>
      </c>
      <c r="D461" t="s">
        <v>355</v>
      </c>
      <c r="E461" s="61">
        <v>0</v>
      </c>
      <c r="F461" s="61">
        <v>60000</v>
      </c>
      <c r="G461" s="56" t="str">
        <f>TEXT(TablaGastos[[#This Row],[Orden]],"00")&amp;" "&amp;TablaGastos[[#This Row],[Semana]]</f>
        <v>29 25 30 Mayo</v>
      </c>
      <c r="H461" s="56" t="str">
        <f>_xlfn.XLOOKUP(TablaGastos[[#This Row],[Semana]],Pivots!$U$2:$U$30,Pivots!$Y$2:$Y$30)</f>
        <v>7-May</v>
      </c>
    </row>
    <row r="462" spans="1:8" x14ac:dyDescent="0.3">
      <c r="A462">
        <v>29</v>
      </c>
      <c r="B462" t="s">
        <v>375</v>
      </c>
      <c r="C462" t="s">
        <v>219</v>
      </c>
      <c r="D462" t="s">
        <v>421</v>
      </c>
      <c r="E462" s="61">
        <v>0</v>
      </c>
      <c r="F462" s="61">
        <v>15000</v>
      </c>
      <c r="G462" s="56" t="str">
        <f>TEXT(TablaGastos[[#This Row],[Orden]],"00")&amp;" "&amp;TablaGastos[[#This Row],[Semana]]</f>
        <v>29 25 30 Mayo</v>
      </c>
      <c r="H462" s="56" t="str">
        <f>_xlfn.XLOOKUP(TablaGastos[[#This Row],[Semana]],Pivots!$U$2:$U$30,Pivots!$Y$2:$Y$30)</f>
        <v>7-May</v>
      </c>
    </row>
    <row r="463" spans="1:8" x14ac:dyDescent="0.3">
      <c r="A463">
        <v>29</v>
      </c>
      <c r="B463" t="s">
        <v>375</v>
      </c>
      <c r="C463" t="s">
        <v>11</v>
      </c>
      <c r="D463" t="s">
        <v>347</v>
      </c>
      <c r="E463" s="61">
        <v>26453.74</v>
      </c>
      <c r="F463" s="61">
        <v>0</v>
      </c>
      <c r="G463" s="56" t="str">
        <f>TEXT(TablaGastos[[#This Row],[Orden]],"00")&amp;" "&amp;TablaGastos[[#This Row],[Semana]]</f>
        <v>29 25 30 Mayo</v>
      </c>
      <c r="H463" s="56" t="str">
        <f>_xlfn.XLOOKUP(TablaGastos[[#This Row],[Semana]],Pivots!$U$2:$U$30,Pivots!$Y$2:$Y$30)</f>
        <v>7-May</v>
      </c>
    </row>
    <row r="464" spans="1:8" x14ac:dyDescent="0.3">
      <c r="A464">
        <v>29</v>
      </c>
      <c r="B464" t="s">
        <v>375</v>
      </c>
      <c r="C464" t="s">
        <v>194</v>
      </c>
      <c r="D464" t="s">
        <v>422</v>
      </c>
      <c r="E464" s="61">
        <v>15370</v>
      </c>
      <c r="F464" s="61">
        <v>15370</v>
      </c>
      <c r="G464" s="56" t="str">
        <f>TEXT(TablaGastos[[#This Row],[Orden]],"00")&amp;" "&amp;TablaGastos[[#This Row],[Semana]]</f>
        <v>29 25 30 Mayo</v>
      </c>
      <c r="H464" s="56" t="str">
        <f>_xlfn.XLOOKUP(TablaGastos[[#This Row],[Semana]],Pivots!$U$2:$U$30,Pivots!$Y$2:$Y$30)</f>
        <v>7-May</v>
      </c>
    </row>
    <row r="465" spans="1:8" x14ac:dyDescent="0.3">
      <c r="A465">
        <v>29</v>
      </c>
      <c r="B465" t="s">
        <v>375</v>
      </c>
      <c r="C465" t="s">
        <v>319</v>
      </c>
      <c r="D465" t="s">
        <v>342</v>
      </c>
      <c r="E465" s="61">
        <v>15000</v>
      </c>
      <c r="F465" s="61">
        <v>0</v>
      </c>
      <c r="G465" s="56" t="str">
        <f>TEXT(TablaGastos[[#This Row],[Orden]],"00")&amp;" "&amp;TablaGastos[[#This Row],[Semana]]</f>
        <v>29 25 30 Mayo</v>
      </c>
      <c r="H465" s="56" t="str">
        <f>_xlfn.XLOOKUP(TablaGastos[[#This Row],[Semana]],Pivots!$U$2:$U$30,Pivots!$Y$2:$Y$30)</f>
        <v>7-May</v>
      </c>
    </row>
    <row r="466" spans="1:8" x14ac:dyDescent="0.3">
      <c r="A466">
        <v>29</v>
      </c>
      <c r="B466" t="s">
        <v>375</v>
      </c>
      <c r="C466" t="s">
        <v>319</v>
      </c>
      <c r="D466" t="s">
        <v>342</v>
      </c>
      <c r="E466" s="61">
        <v>5000</v>
      </c>
      <c r="F466" s="61">
        <v>0</v>
      </c>
      <c r="G466" s="56" t="str">
        <f>TEXT(TablaGastos[[#This Row],[Orden]],"00")&amp;" "&amp;TablaGastos[[#This Row],[Semana]]</f>
        <v>29 25 30 Mayo</v>
      </c>
      <c r="H466" s="56" t="str">
        <f>_xlfn.XLOOKUP(TablaGastos[[#This Row],[Semana]],Pivots!$U$2:$U$30,Pivots!$Y$2:$Y$30)</f>
        <v>7-May</v>
      </c>
    </row>
    <row r="467" spans="1:8" x14ac:dyDescent="0.3">
      <c r="A467">
        <v>29</v>
      </c>
      <c r="B467" t="s">
        <v>375</v>
      </c>
      <c r="C467" t="s">
        <v>270</v>
      </c>
      <c r="D467" t="s">
        <v>344</v>
      </c>
      <c r="E467" s="61">
        <v>0</v>
      </c>
      <c r="F467" s="61">
        <v>77738.850000000006</v>
      </c>
      <c r="G467" s="56" t="str">
        <f>TEXT(TablaGastos[[#This Row],[Orden]],"00")&amp;" "&amp;TablaGastos[[#This Row],[Semana]]</f>
        <v>29 25 30 Mayo</v>
      </c>
      <c r="H467" s="56" t="str">
        <f>_xlfn.XLOOKUP(TablaGastos[[#This Row],[Semana]],Pivots!$U$2:$U$30,Pivots!$Y$2:$Y$30)</f>
        <v>7-May</v>
      </c>
    </row>
    <row r="468" spans="1:8" x14ac:dyDescent="0.3">
      <c r="A468">
        <v>29</v>
      </c>
      <c r="B468" t="s">
        <v>375</v>
      </c>
      <c r="C468" t="s">
        <v>271</v>
      </c>
      <c r="D468" t="s">
        <v>422</v>
      </c>
      <c r="E468" s="61">
        <v>31215.599999999999</v>
      </c>
      <c r="F468" s="61">
        <v>0</v>
      </c>
      <c r="G468" s="56" t="str">
        <f>TEXT(TablaGastos[[#This Row],[Orden]],"00")&amp;" "&amp;TablaGastos[[#This Row],[Semana]]</f>
        <v>29 25 30 Mayo</v>
      </c>
      <c r="H468" s="56" t="str">
        <f>_xlfn.XLOOKUP(TablaGastos[[#This Row],[Semana]],Pivots!$U$2:$U$30,Pivots!$Y$2:$Y$30)</f>
        <v>7-May</v>
      </c>
    </row>
    <row r="469" spans="1:8" x14ac:dyDescent="0.3">
      <c r="A469">
        <v>29</v>
      </c>
      <c r="B469" t="s">
        <v>375</v>
      </c>
      <c r="C469" t="s">
        <v>271</v>
      </c>
      <c r="D469" t="s">
        <v>422</v>
      </c>
      <c r="E469" s="61">
        <v>9802</v>
      </c>
      <c r="F469" s="61">
        <v>0</v>
      </c>
      <c r="G469" s="56" t="str">
        <f>TEXT(TablaGastos[[#This Row],[Orden]],"00")&amp;" "&amp;TablaGastos[[#This Row],[Semana]]</f>
        <v>29 25 30 Mayo</v>
      </c>
      <c r="H469" s="56" t="str">
        <f>_xlfn.XLOOKUP(TablaGastos[[#This Row],[Semana]],Pivots!$U$2:$U$30,Pivots!$Y$2:$Y$30)</f>
        <v>7-May</v>
      </c>
    </row>
    <row r="470" spans="1:8" x14ac:dyDescent="0.3">
      <c r="A470">
        <v>29</v>
      </c>
      <c r="B470" t="s">
        <v>375</v>
      </c>
      <c r="C470" t="s">
        <v>271</v>
      </c>
      <c r="D470" t="s">
        <v>422</v>
      </c>
      <c r="E470" s="61">
        <v>13722.8</v>
      </c>
      <c r="F470" s="61">
        <v>0</v>
      </c>
      <c r="G470" s="56" t="str">
        <f>TEXT(TablaGastos[[#This Row],[Orden]],"00")&amp;" "&amp;TablaGastos[[#This Row],[Semana]]</f>
        <v>29 25 30 Mayo</v>
      </c>
      <c r="H470" s="56" t="str">
        <f>_xlfn.XLOOKUP(TablaGastos[[#This Row],[Semana]],Pivots!$U$2:$U$30,Pivots!$Y$2:$Y$30)</f>
        <v>7-May</v>
      </c>
    </row>
    <row r="471" spans="1:8" x14ac:dyDescent="0.3">
      <c r="A471">
        <v>29</v>
      </c>
      <c r="B471" t="s">
        <v>375</v>
      </c>
      <c r="C471" t="s">
        <v>241</v>
      </c>
      <c r="D471" t="s">
        <v>421</v>
      </c>
      <c r="E471" s="61">
        <v>6086.26</v>
      </c>
      <c r="F471" s="61">
        <v>0</v>
      </c>
      <c r="G471" s="56" t="str">
        <f>TEXT(TablaGastos[[#This Row],[Orden]],"00")&amp;" "&amp;TablaGastos[[#This Row],[Semana]]</f>
        <v>29 25 30 Mayo</v>
      </c>
      <c r="H471" s="56" t="str">
        <f>_xlfn.XLOOKUP(TablaGastos[[#This Row],[Semana]],Pivots!$U$2:$U$30,Pivots!$Y$2:$Y$30)</f>
        <v>7-May</v>
      </c>
    </row>
    <row r="472" spans="1:8" x14ac:dyDescent="0.3">
      <c r="A472">
        <v>29</v>
      </c>
      <c r="B472" t="s">
        <v>375</v>
      </c>
      <c r="C472" t="s">
        <v>182</v>
      </c>
      <c r="D472" t="s">
        <v>344</v>
      </c>
      <c r="E472" s="61">
        <v>11000</v>
      </c>
      <c r="F472" s="61">
        <v>0</v>
      </c>
      <c r="G472" s="56" t="str">
        <f>TEXT(TablaGastos[[#This Row],[Orden]],"00")&amp;" "&amp;TablaGastos[[#This Row],[Semana]]</f>
        <v>29 25 30 Mayo</v>
      </c>
      <c r="H472" s="56" t="str">
        <f>_xlfn.XLOOKUP(TablaGastos[[#This Row],[Semana]],Pivots!$U$2:$U$30,Pivots!$Y$2:$Y$30)</f>
        <v>7-May</v>
      </c>
    </row>
    <row r="473" spans="1:8" x14ac:dyDescent="0.3">
      <c r="A473">
        <v>29</v>
      </c>
      <c r="B473" t="s">
        <v>375</v>
      </c>
      <c r="C473" t="s">
        <v>316</v>
      </c>
      <c r="D473" t="s">
        <v>347</v>
      </c>
      <c r="E473" s="61">
        <v>13428</v>
      </c>
      <c r="F473" s="61">
        <v>0</v>
      </c>
      <c r="G473" s="56" t="str">
        <f>TEXT(TablaGastos[[#This Row],[Orden]],"00")&amp;" "&amp;TablaGastos[[#This Row],[Semana]]</f>
        <v>29 25 30 Mayo</v>
      </c>
      <c r="H473" s="56" t="str">
        <f>_xlfn.XLOOKUP(TablaGastos[[#This Row],[Semana]],Pivots!$U$2:$U$30,Pivots!$Y$2:$Y$30)</f>
        <v>7-May</v>
      </c>
    </row>
    <row r="474" spans="1:8" x14ac:dyDescent="0.3">
      <c r="A474" t="s">
        <v>376</v>
      </c>
      <c r="E474" s="56">
        <f>SUBTOTAL(109,TablaGastos[Pago])</f>
        <v>7051503.5980000021</v>
      </c>
      <c r="F474" s="56">
        <f>SUBTOTAL(109,TablaGastos[Pendiente])</f>
        <v>5246593.8800000018</v>
      </c>
    </row>
    <row r="475" spans="1:8" x14ac:dyDescent="0.3">
      <c r="E475" s="56"/>
      <c r="F475" s="56"/>
    </row>
    <row r="476" spans="1:8" x14ac:dyDescent="0.3">
      <c r="E476" s="56"/>
      <c r="F476" s="56"/>
    </row>
    <row r="477" spans="1:8" x14ac:dyDescent="0.3">
      <c r="E477" s="56"/>
      <c r="F477" s="56"/>
    </row>
    <row r="478" spans="1:8" x14ac:dyDescent="0.3">
      <c r="E478" s="56"/>
      <c r="F478" s="56"/>
    </row>
    <row r="479" spans="1:8" x14ac:dyDescent="0.3">
      <c r="E479" s="56"/>
      <c r="F479" s="56"/>
    </row>
    <row r="480" spans="1:8" x14ac:dyDescent="0.3">
      <c r="E480" s="56"/>
      <c r="F480" s="56"/>
    </row>
    <row r="481" spans="5:6" x14ac:dyDescent="0.3">
      <c r="E481" s="56"/>
      <c r="F481" s="56"/>
    </row>
    <row r="482" spans="5:6" x14ac:dyDescent="0.3">
      <c r="E482" s="56"/>
      <c r="F482" s="56"/>
    </row>
    <row r="483" spans="5:6" x14ac:dyDescent="0.3">
      <c r="E483" s="56"/>
      <c r="F483" s="56"/>
    </row>
    <row r="484" spans="5:6" x14ac:dyDescent="0.3">
      <c r="E484" s="56"/>
      <c r="F484" s="56"/>
    </row>
    <row r="485" spans="5:6" x14ac:dyDescent="0.3">
      <c r="E485" s="56"/>
      <c r="F485" s="56"/>
    </row>
    <row r="486" spans="5:6" x14ac:dyDescent="0.3">
      <c r="E486" s="56"/>
      <c r="F486" s="56"/>
    </row>
    <row r="487" spans="5:6" x14ac:dyDescent="0.3">
      <c r="E487" s="56"/>
      <c r="F487" s="56"/>
    </row>
    <row r="488" spans="5:6" x14ac:dyDescent="0.3">
      <c r="E488" s="56"/>
      <c r="F488" s="56"/>
    </row>
    <row r="489" spans="5:6" x14ac:dyDescent="0.3">
      <c r="E489" s="56"/>
      <c r="F489" s="56"/>
    </row>
    <row r="490" spans="5:6" x14ac:dyDescent="0.3">
      <c r="E490" s="56"/>
      <c r="F490" s="56"/>
    </row>
    <row r="491" spans="5:6" x14ac:dyDescent="0.3">
      <c r="E491" s="56"/>
      <c r="F491" s="56"/>
    </row>
    <row r="492" spans="5:6" x14ac:dyDescent="0.3">
      <c r="E492" s="56"/>
      <c r="F492" s="56"/>
    </row>
    <row r="493" spans="5:6" x14ac:dyDescent="0.3">
      <c r="E493" s="56"/>
      <c r="F493" s="56"/>
    </row>
    <row r="494" spans="5:6" x14ac:dyDescent="0.3">
      <c r="E494" s="56"/>
      <c r="F494" s="56"/>
    </row>
    <row r="495" spans="5:6" x14ac:dyDescent="0.3">
      <c r="E495" s="56"/>
      <c r="F495" s="56"/>
    </row>
    <row r="496" spans="5:6" x14ac:dyDescent="0.3">
      <c r="E496" s="56"/>
      <c r="F496" s="56"/>
    </row>
    <row r="497" spans="5:6" x14ac:dyDescent="0.3">
      <c r="E497" s="56"/>
      <c r="F497" s="56"/>
    </row>
    <row r="498" spans="5:6" x14ac:dyDescent="0.3">
      <c r="E498" s="56"/>
      <c r="F498" s="56"/>
    </row>
    <row r="499" spans="5:6" x14ac:dyDescent="0.3">
      <c r="E499" s="56"/>
      <c r="F499" s="56"/>
    </row>
    <row r="500" spans="5:6" x14ac:dyDescent="0.3">
      <c r="E500" s="56"/>
      <c r="F500" s="56"/>
    </row>
    <row r="501" spans="5:6" x14ac:dyDescent="0.3">
      <c r="E501" s="56"/>
      <c r="F501" s="56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277C-A48C-44C5-9098-E1F7E47F1265}">
  <dimension ref="A1:J29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2" max="2" width="42.5546875" customWidth="1"/>
    <col min="3" max="3" width="14.6640625" style="1" customWidth="1"/>
    <col min="4" max="4" width="11.88671875" style="1" bestFit="1" customWidth="1"/>
    <col min="5" max="5" width="11.88671875" style="1" customWidth="1"/>
    <col min="6" max="6" width="17.33203125" style="1" bestFit="1" customWidth="1"/>
    <col min="7" max="7" width="13.6640625" style="1" customWidth="1"/>
    <col min="8" max="8" width="11.5546875" style="1"/>
    <col min="9" max="9" width="22.21875" customWidth="1"/>
    <col min="18" max="18" width="22.21875" customWidth="1"/>
  </cols>
  <sheetData>
    <row r="1" spans="1:10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 s="269" t="s">
        <v>443</v>
      </c>
      <c r="J1" s="269"/>
    </row>
    <row r="2" spans="1:10" ht="15" customHeight="1" x14ac:dyDescent="0.3">
      <c r="A2" s="57"/>
      <c r="B2" s="57"/>
      <c r="C2" s="57"/>
      <c r="D2" s="57"/>
      <c r="E2" s="57"/>
      <c r="F2" s="57"/>
      <c r="G2"/>
      <c r="H2"/>
      <c r="I2" s="85" t="s">
        <v>425</v>
      </c>
      <c r="J2" s="270">
        <f>C20</f>
        <v>311006</v>
      </c>
    </row>
    <row r="3" spans="1:10" ht="15" customHeight="1" x14ac:dyDescent="0.3">
      <c r="A3" s="57"/>
      <c r="B3" s="57"/>
      <c r="C3" s="57"/>
      <c r="D3" s="57"/>
      <c r="E3" s="57"/>
      <c r="F3" s="57"/>
      <c r="G3"/>
      <c r="H3"/>
      <c r="I3" s="85" t="s">
        <v>269</v>
      </c>
      <c r="J3" s="270">
        <f>D20</f>
        <v>18740</v>
      </c>
    </row>
    <row r="4" spans="1:10" ht="15" customHeight="1" x14ac:dyDescent="0.3">
      <c r="A4" s="57"/>
      <c r="B4" s="57"/>
      <c r="C4" s="57"/>
      <c r="D4" s="57"/>
      <c r="E4" s="57"/>
      <c r="F4" s="57"/>
      <c r="G4"/>
      <c r="H4"/>
      <c r="I4" s="85" t="s">
        <v>423</v>
      </c>
      <c r="J4" s="270">
        <f>G11</f>
        <v>303500.79999999999</v>
      </c>
    </row>
    <row r="5" spans="1:10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 s="85" t="s">
        <v>424</v>
      </c>
      <c r="J5" s="270">
        <v>0</v>
      </c>
    </row>
    <row r="6" spans="1:10" ht="17.399999999999999" x14ac:dyDescent="0.35">
      <c r="B6" s="68" t="s">
        <v>29</v>
      </c>
      <c r="C6" s="69"/>
      <c r="D6" s="98"/>
      <c r="E6"/>
      <c r="I6" s="271" t="s">
        <v>444</v>
      </c>
      <c r="J6" s="272">
        <f>J4-J5-J2</f>
        <v>-7505.2000000000116</v>
      </c>
    </row>
    <row r="7" spans="1:10" x14ac:dyDescent="0.3">
      <c r="B7" s="65" t="s">
        <v>30</v>
      </c>
      <c r="C7" s="66">
        <v>130000</v>
      </c>
      <c r="D7" s="79"/>
      <c r="E7"/>
      <c r="F7" s="122" t="s">
        <v>31</v>
      </c>
      <c r="G7" s="124">
        <v>80000</v>
      </c>
    </row>
    <row r="8" spans="1:10" x14ac:dyDescent="0.3">
      <c r="B8" s="70" t="s">
        <v>2</v>
      </c>
      <c r="C8" s="69">
        <v>50000</v>
      </c>
      <c r="D8" s="98"/>
      <c r="E8"/>
      <c r="F8" s="123" t="s">
        <v>32</v>
      </c>
      <c r="G8" s="125">
        <v>175500.79999999999</v>
      </c>
    </row>
    <row r="9" spans="1:10" x14ac:dyDescent="0.3">
      <c r="B9" s="65" t="s">
        <v>33</v>
      </c>
      <c r="C9" s="64">
        <v>37000</v>
      </c>
      <c r="D9" s="79"/>
      <c r="E9"/>
      <c r="F9" s="123" t="s">
        <v>34</v>
      </c>
      <c r="G9" s="125"/>
    </row>
    <row r="10" spans="1:10" x14ac:dyDescent="0.3">
      <c r="B10" s="70" t="s">
        <v>35</v>
      </c>
      <c r="C10" s="69">
        <v>30000</v>
      </c>
      <c r="D10" s="98"/>
      <c r="E10"/>
      <c r="F10" s="123" t="s">
        <v>36</v>
      </c>
      <c r="G10" s="125">
        <v>48000</v>
      </c>
    </row>
    <row r="11" spans="1:10" x14ac:dyDescent="0.3">
      <c r="B11" s="65" t="s">
        <v>37</v>
      </c>
      <c r="C11" s="66">
        <v>10000</v>
      </c>
      <c r="D11" s="79"/>
      <c r="E11"/>
      <c r="F11" s="126"/>
      <c r="G11" s="127">
        <f>SUM(G7:G10)</f>
        <v>303500.79999999999</v>
      </c>
    </row>
    <row r="12" spans="1:10" x14ac:dyDescent="0.3">
      <c r="B12" s="70" t="s">
        <v>7</v>
      </c>
      <c r="C12" s="69">
        <v>3000</v>
      </c>
      <c r="D12" s="98"/>
      <c r="E12"/>
    </row>
    <row r="13" spans="1:10" x14ac:dyDescent="0.3">
      <c r="B13" s="65" t="s">
        <v>38</v>
      </c>
      <c r="C13" s="64">
        <v>9000</v>
      </c>
      <c r="D13" s="79"/>
      <c r="E13"/>
    </row>
    <row r="14" spans="1:10" x14ac:dyDescent="0.3">
      <c r="B14" s="70" t="s">
        <v>39</v>
      </c>
      <c r="C14" s="69">
        <v>12006</v>
      </c>
      <c r="D14" s="98"/>
      <c r="E14"/>
    </row>
    <row r="15" spans="1:10" x14ac:dyDescent="0.3">
      <c r="B15" s="65" t="s">
        <v>6</v>
      </c>
      <c r="C15" s="64"/>
      <c r="D15" s="79">
        <v>16240</v>
      </c>
      <c r="E15"/>
    </row>
    <row r="16" spans="1:10" x14ac:dyDescent="0.3">
      <c r="B16" s="70" t="s">
        <v>40</v>
      </c>
      <c r="C16" s="69"/>
      <c r="D16" s="98">
        <v>2500</v>
      </c>
      <c r="E16"/>
    </row>
    <row r="17" spans="2:5" x14ac:dyDescent="0.3">
      <c r="B17" s="65" t="s">
        <v>41</v>
      </c>
      <c r="C17" s="66">
        <v>30000</v>
      </c>
      <c r="D17" s="79"/>
      <c r="E17"/>
    </row>
    <row r="18" spans="2:5" x14ac:dyDescent="0.3">
      <c r="B18" s="70"/>
      <c r="C18" s="69"/>
      <c r="D18" s="98"/>
      <c r="E18"/>
    </row>
    <row r="19" spans="2:5" x14ac:dyDescent="0.3">
      <c r="B19" s="65"/>
      <c r="C19" s="64"/>
      <c r="D19" s="79"/>
      <c r="E19"/>
    </row>
    <row r="20" spans="2:5" x14ac:dyDescent="0.3">
      <c r="B20" s="70"/>
      <c r="C20" s="71">
        <f>SUM(C7:C19)</f>
        <v>311006</v>
      </c>
      <c r="D20" s="98">
        <f>SUM(D7:D19)</f>
        <v>18740</v>
      </c>
      <c r="E20"/>
    </row>
    <row r="21" spans="2:5" x14ac:dyDescent="0.3">
      <c r="B21" s="65"/>
      <c r="C21" s="64"/>
      <c r="D21" s="79"/>
      <c r="E21"/>
    </row>
    <row r="22" spans="2:5" x14ac:dyDescent="0.3">
      <c r="B22" s="70"/>
      <c r="C22" s="69"/>
      <c r="D22" s="98"/>
      <c r="E22"/>
    </row>
    <row r="23" spans="2:5" x14ac:dyDescent="0.3">
      <c r="B23" s="198" t="s">
        <v>429</v>
      </c>
      <c r="C23" s="185"/>
      <c r="D23" s="186"/>
      <c r="E23"/>
    </row>
    <row r="24" spans="2:5" x14ac:dyDescent="0.3">
      <c r="B24" s="70" t="s">
        <v>42</v>
      </c>
      <c r="C24" s="69">
        <v>1906.7</v>
      </c>
      <c r="D24" s="69" t="s">
        <v>43</v>
      </c>
      <c r="E24"/>
    </row>
    <row r="25" spans="2:5" x14ac:dyDescent="0.3">
      <c r="B25" s="192" t="s">
        <v>44</v>
      </c>
      <c r="C25" s="121">
        <v>5253.25</v>
      </c>
      <c r="D25" s="196" t="s">
        <v>43</v>
      </c>
      <c r="E25"/>
    </row>
    <row r="26" spans="2:5" x14ac:dyDescent="0.3">
      <c r="B26" s="193" t="s">
        <v>45</v>
      </c>
      <c r="C26" s="128">
        <f>SUM(C24:C25)</f>
        <v>7159.95</v>
      </c>
      <c r="D26" s="196"/>
      <c r="E26"/>
    </row>
    <row r="27" spans="2:5" x14ac:dyDescent="0.3">
      <c r="B27" s="192" t="s">
        <v>46</v>
      </c>
      <c r="C27" s="121">
        <v>2000</v>
      </c>
      <c r="D27" s="196"/>
      <c r="E27"/>
    </row>
    <row r="28" spans="2:5" x14ac:dyDescent="0.3">
      <c r="B28" s="194" t="s">
        <v>47</v>
      </c>
      <c r="C28" s="187">
        <f>C26-C27</f>
        <v>5159.95</v>
      </c>
      <c r="D28" s="196"/>
      <c r="E28"/>
    </row>
    <row r="29" spans="2:5" x14ac:dyDescent="0.3">
      <c r="B29" s="195"/>
      <c r="C29" s="190">
        <f>C28*7.5</f>
        <v>38699.625</v>
      </c>
      <c r="D29" s="197"/>
      <c r="E29"/>
    </row>
  </sheetData>
  <mergeCells count="1">
    <mergeCell ref="I1:J1"/>
  </mergeCells>
  <conditionalFormatting sqref="J6">
    <cfRule type="cellIs" dxfId="57" priority="1" operator="lessThan">
      <formula>0</formula>
    </cfRule>
  </conditionalFormatting>
  <conditionalFormatting sqref="J6">
    <cfRule type="cellIs" dxfId="5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FD5B-4D67-4EC7-9D01-8D9812803B91}">
  <dimension ref="A1:J3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2" max="2" width="42.5546875" customWidth="1"/>
    <col min="3" max="3" width="14.6640625" style="1" customWidth="1"/>
    <col min="4" max="4" width="12.44140625" style="1" bestFit="1" customWidth="1"/>
    <col min="5" max="5" width="11.88671875" style="1" customWidth="1"/>
    <col min="6" max="6" width="17.33203125" style="1" bestFit="1" customWidth="1"/>
    <col min="7" max="7" width="13.6640625" style="1" customWidth="1"/>
    <col min="8" max="8" width="11.5546875" style="1"/>
    <col min="9" max="9" width="22.21875" customWidth="1"/>
    <col min="18" max="18" width="22.21875" customWidth="1"/>
  </cols>
  <sheetData>
    <row r="1" spans="1:10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 s="269" t="s">
        <v>443</v>
      </c>
      <c r="J1" s="269"/>
    </row>
    <row r="2" spans="1:10" ht="15" customHeight="1" x14ac:dyDescent="0.3">
      <c r="A2" s="57"/>
      <c r="B2" s="57"/>
      <c r="C2" s="57"/>
      <c r="D2" s="57"/>
      <c r="E2" s="57"/>
      <c r="F2" s="57"/>
      <c r="G2"/>
      <c r="H2"/>
      <c r="I2" s="85" t="s">
        <v>425</v>
      </c>
      <c r="J2" s="270">
        <f>C27</f>
        <v>292000</v>
      </c>
    </row>
    <row r="3" spans="1:10" ht="15" customHeight="1" x14ac:dyDescent="0.3">
      <c r="A3" s="57"/>
      <c r="B3" s="57"/>
      <c r="C3" s="57"/>
      <c r="D3" s="57"/>
      <c r="E3" s="57"/>
      <c r="F3" s="57"/>
      <c r="G3"/>
      <c r="H3"/>
      <c r="I3" s="85" t="s">
        <v>269</v>
      </c>
      <c r="J3" s="270">
        <f>D27</f>
        <v>186222</v>
      </c>
    </row>
    <row r="4" spans="1:10" ht="15" customHeight="1" x14ac:dyDescent="0.3">
      <c r="A4" s="57"/>
      <c r="B4" s="57"/>
      <c r="C4" s="57"/>
      <c r="D4" s="57"/>
      <c r="E4" s="57"/>
      <c r="F4" s="57"/>
      <c r="G4"/>
      <c r="H4"/>
      <c r="I4" s="85" t="s">
        <v>423</v>
      </c>
      <c r="J4" s="270">
        <f>G11</f>
        <v>295000</v>
      </c>
    </row>
    <row r="5" spans="1:10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 s="85" t="s">
        <v>424</v>
      </c>
      <c r="J5" s="270">
        <v>0</v>
      </c>
    </row>
    <row r="6" spans="1:10" ht="17.399999999999999" x14ac:dyDescent="0.35">
      <c r="B6" s="68" t="s">
        <v>29</v>
      </c>
      <c r="C6" s="69"/>
      <c r="D6" s="98"/>
      <c r="E6"/>
      <c r="I6" s="271" t="s">
        <v>444</v>
      </c>
      <c r="J6" s="272">
        <f>J4-J5-J2</f>
        <v>3000</v>
      </c>
    </row>
    <row r="7" spans="1:10" x14ac:dyDescent="0.3">
      <c r="B7" s="65" t="s">
        <v>30</v>
      </c>
      <c r="C7" s="66">
        <v>115000</v>
      </c>
      <c r="D7" s="79"/>
      <c r="E7"/>
      <c r="F7" s="122" t="s">
        <v>31</v>
      </c>
      <c r="G7" s="124">
        <v>130000</v>
      </c>
    </row>
    <row r="8" spans="1:10" x14ac:dyDescent="0.3">
      <c r="B8" s="70" t="s">
        <v>2</v>
      </c>
      <c r="C8" s="69">
        <v>30000</v>
      </c>
      <c r="D8" s="98"/>
      <c r="E8"/>
      <c r="F8" s="123" t="s">
        <v>32</v>
      </c>
      <c r="G8" s="125"/>
    </row>
    <row r="9" spans="1:10" x14ac:dyDescent="0.3">
      <c r="B9" s="65" t="s">
        <v>2</v>
      </c>
      <c r="C9" s="64"/>
      <c r="D9" s="99">
        <v>50136</v>
      </c>
      <c r="E9"/>
      <c r="F9" s="123" t="s">
        <v>34</v>
      </c>
      <c r="G9" s="125">
        <v>105000</v>
      </c>
    </row>
    <row r="10" spans="1:10" x14ac:dyDescent="0.3">
      <c r="B10" s="70" t="s">
        <v>35</v>
      </c>
      <c r="C10" s="69">
        <v>50000</v>
      </c>
      <c r="D10" s="98"/>
      <c r="E10"/>
      <c r="F10" s="123" t="s">
        <v>36</v>
      </c>
      <c r="G10" s="125">
        <v>60000</v>
      </c>
    </row>
    <row r="11" spans="1:10" x14ac:dyDescent="0.3">
      <c r="B11" s="65" t="s">
        <v>37</v>
      </c>
      <c r="C11" s="72">
        <v>20000</v>
      </c>
      <c r="D11" s="79"/>
      <c r="E11"/>
      <c r="F11" s="126"/>
      <c r="G11" s="127">
        <f>SUM(G7:G10)</f>
        <v>295000</v>
      </c>
    </row>
    <row r="12" spans="1:10" x14ac:dyDescent="0.3">
      <c r="B12" s="70" t="s">
        <v>7</v>
      </c>
      <c r="C12" s="69">
        <v>3000</v>
      </c>
      <c r="D12" s="98"/>
      <c r="E12"/>
    </row>
    <row r="13" spans="1:10" x14ac:dyDescent="0.3">
      <c r="B13" s="65" t="s">
        <v>38</v>
      </c>
      <c r="C13" s="72">
        <v>9000</v>
      </c>
      <c r="D13" s="79"/>
      <c r="E13"/>
    </row>
    <row r="14" spans="1:10" x14ac:dyDescent="0.3">
      <c r="B14" s="70" t="s">
        <v>39</v>
      </c>
      <c r="C14" s="69"/>
      <c r="D14" s="98">
        <v>12006</v>
      </c>
      <c r="E14"/>
    </row>
    <row r="15" spans="1:10" x14ac:dyDescent="0.3">
      <c r="B15" s="65" t="s">
        <v>6</v>
      </c>
      <c r="C15" s="72"/>
      <c r="D15" s="79">
        <v>16240</v>
      </c>
      <c r="E15"/>
    </row>
    <row r="16" spans="1:10" x14ac:dyDescent="0.3">
      <c r="B16" s="70" t="s">
        <v>40</v>
      </c>
      <c r="C16" s="69"/>
      <c r="D16" s="98">
        <v>2500</v>
      </c>
      <c r="E16"/>
    </row>
    <row r="17" spans="2:5" x14ac:dyDescent="0.3">
      <c r="B17" s="65" t="s">
        <v>41</v>
      </c>
      <c r="C17" s="66">
        <v>30000</v>
      </c>
      <c r="D17" s="79"/>
      <c r="E17"/>
    </row>
    <row r="18" spans="2:5" x14ac:dyDescent="0.3">
      <c r="B18" s="70" t="s">
        <v>48</v>
      </c>
      <c r="C18" s="69"/>
      <c r="D18" s="98">
        <v>20300</v>
      </c>
      <c r="E18"/>
    </row>
    <row r="19" spans="2:5" x14ac:dyDescent="0.3">
      <c r="B19" s="65" t="s">
        <v>49</v>
      </c>
      <c r="C19" s="64"/>
      <c r="D19" s="79">
        <v>20000</v>
      </c>
      <c r="E19"/>
    </row>
    <row r="20" spans="2:5" x14ac:dyDescent="0.3">
      <c r="B20" s="70" t="s">
        <v>50</v>
      </c>
      <c r="C20" s="69">
        <v>20000</v>
      </c>
      <c r="D20" s="98"/>
      <c r="E20"/>
    </row>
    <row r="21" spans="2:5" x14ac:dyDescent="0.3">
      <c r="B21" s="65" t="s">
        <v>51</v>
      </c>
      <c r="C21" s="64"/>
      <c r="D21" s="79"/>
      <c r="E21"/>
    </row>
    <row r="22" spans="2:5" x14ac:dyDescent="0.3">
      <c r="B22" s="70" t="s">
        <v>52</v>
      </c>
      <c r="C22" s="69"/>
      <c r="D22" s="98">
        <v>16240</v>
      </c>
      <c r="E22"/>
    </row>
    <row r="23" spans="2:5" x14ac:dyDescent="0.3">
      <c r="B23" s="65" t="s">
        <v>53</v>
      </c>
      <c r="C23" s="66">
        <v>15000</v>
      </c>
      <c r="D23" s="79"/>
      <c r="E23"/>
    </row>
    <row r="24" spans="2:5" x14ac:dyDescent="0.3">
      <c r="B24" s="70" t="s">
        <v>54</v>
      </c>
      <c r="C24" s="69"/>
      <c r="D24" s="98">
        <v>3000</v>
      </c>
      <c r="E24"/>
    </row>
    <row r="25" spans="2:5" x14ac:dyDescent="0.3">
      <c r="B25" s="65" t="s">
        <v>31</v>
      </c>
      <c r="C25" s="64"/>
      <c r="D25" s="99">
        <v>20000</v>
      </c>
      <c r="E25"/>
    </row>
    <row r="26" spans="2:5" x14ac:dyDescent="0.3">
      <c r="B26" s="70" t="s">
        <v>55</v>
      </c>
      <c r="C26" s="69"/>
      <c r="D26" s="98">
        <v>25800</v>
      </c>
      <c r="E26"/>
    </row>
    <row r="27" spans="2:5" x14ac:dyDescent="0.3">
      <c r="B27" s="65"/>
      <c r="C27" s="67">
        <f>SUM(C7:C26)</f>
        <v>292000</v>
      </c>
      <c r="D27" s="100">
        <f>SUM(D7:D26)</f>
        <v>186222</v>
      </c>
      <c r="E27"/>
    </row>
    <row r="28" spans="2:5" x14ac:dyDescent="0.3">
      <c r="B28" s="70"/>
      <c r="C28" s="69"/>
      <c r="D28" s="98"/>
      <c r="E28"/>
    </row>
    <row r="29" spans="2:5" x14ac:dyDescent="0.3">
      <c r="B29" s="65"/>
      <c r="C29" s="64"/>
      <c r="D29" s="79"/>
      <c r="E29"/>
    </row>
    <row r="30" spans="2:5" x14ac:dyDescent="0.3">
      <c r="B30" s="70"/>
      <c r="C30" s="69"/>
      <c r="D30" s="98"/>
      <c r="E30"/>
    </row>
    <row r="31" spans="2:5" x14ac:dyDescent="0.3">
      <c r="E31"/>
    </row>
    <row r="32" spans="2:5" x14ac:dyDescent="0.3">
      <c r="E32"/>
    </row>
    <row r="33" spans="2:5" x14ac:dyDescent="0.3">
      <c r="B33" s="2"/>
      <c r="C33" s="3"/>
      <c r="E33"/>
    </row>
    <row r="34" spans="2:5" x14ac:dyDescent="0.3">
      <c r="E34"/>
    </row>
    <row r="35" spans="2:5" x14ac:dyDescent="0.3">
      <c r="B35" s="13"/>
      <c r="C35" s="14"/>
      <c r="E35"/>
    </row>
    <row r="36" spans="2:5" x14ac:dyDescent="0.3">
      <c r="C36" s="17"/>
    </row>
  </sheetData>
  <mergeCells count="1">
    <mergeCell ref="I1:J1"/>
  </mergeCells>
  <conditionalFormatting sqref="J6">
    <cfRule type="cellIs" dxfId="55" priority="1" operator="lessThan">
      <formula>0</formula>
    </cfRule>
  </conditionalFormatting>
  <conditionalFormatting sqref="J6">
    <cfRule type="cellIs" dxfId="5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648B-696D-490E-BA3C-894EE30BE5D4}">
  <dimension ref="A1:M48"/>
  <sheetViews>
    <sheetView topLeftCell="I1"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4.6640625" style="1" customWidth="1"/>
    <col min="4" max="4" width="12.44140625" style="1" bestFit="1" customWidth="1"/>
    <col min="5" max="5" width="6.5546875" style="8" customWidth="1"/>
    <col min="6" max="7" width="14.6640625" style="1" customWidth="1"/>
    <col min="8" max="8" width="5" style="1" customWidth="1"/>
    <col min="12" max="12" width="22.21875" customWidth="1"/>
    <col min="18" max="18" width="22.21875" customWidth="1"/>
  </cols>
  <sheetData>
    <row r="1" spans="1:13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L1" s="269" t="s">
        <v>443</v>
      </c>
      <c r="M1" s="269"/>
    </row>
    <row r="2" spans="1:13" ht="15" customHeight="1" x14ac:dyDescent="0.3">
      <c r="A2" s="57"/>
      <c r="B2" s="57"/>
      <c r="C2" s="57"/>
      <c r="D2" s="57"/>
      <c r="E2" s="57"/>
      <c r="F2" s="57"/>
      <c r="G2"/>
      <c r="H2"/>
      <c r="L2" s="85" t="s">
        <v>425</v>
      </c>
      <c r="M2" s="270">
        <f>C28</f>
        <v>140470</v>
      </c>
    </row>
    <row r="3" spans="1:13" ht="15" customHeight="1" x14ac:dyDescent="0.3">
      <c r="A3" s="57"/>
      <c r="B3" s="57"/>
      <c r="C3" s="57"/>
      <c r="D3" s="57"/>
      <c r="E3" s="57"/>
      <c r="F3" s="57"/>
      <c r="G3"/>
      <c r="H3"/>
      <c r="L3" s="85" t="s">
        <v>269</v>
      </c>
      <c r="M3" s="270">
        <f>D28</f>
        <v>124800</v>
      </c>
    </row>
    <row r="4" spans="1:13" ht="15" customHeight="1" x14ac:dyDescent="0.3">
      <c r="A4" s="57"/>
      <c r="B4" s="57"/>
      <c r="C4" s="57"/>
      <c r="D4" s="57"/>
      <c r="E4" s="57"/>
      <c r="F4" s="57"/>
      <c r="G4"/>
      <c r="H4"/>
      <c r="L4" s="85" t="s">
        <v>423</v>
      </c>
      <c r="M4" s="270">
        <f>G11</f>
        <v>138000</v>
      </c>
    </row>
    <row r="5" spans="1:13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L5" s="85" t="s">
        <v>424</v>
      </c>
      <c r="M5" s="270">
        <f>J18</f>
        <v>12950</v>
      </c>
    </row>
    <row r="6" spans="1:13" ht="17.399999999999999" x14ac:dyDescent="0.35">
      <c r="B6" s="68" t="s">
        <v>29</v>
      </c>
      <c r="C6" s="69"/>
      <c r="D6" s="98"/>
      <c r="E6"/>
      <c r="F6" s="122" t="s">
        <v>56</v>
      </c>
      <c r="G6" s="124"/>
      <c r="L6" s="271" t="s">
        <v>444</v>
      </c>
      <c r="M6" s="272">
        <f>M4-M5-M2</f>
        <v>-15420</v>
      </c>
    </row>
    <row r="7" spans="1:13" x14ac:dyDescent="0.3">
      <c r="B7" s="65" t="s">
        <v>30</v>
      </c>
      <c r="C7" s="66">
        <v>110000</v>
      </c>
      <c r="D7" s="79"/>
      <c r="E7"/>
      <c r="F7" s="123" t="s">
        <v>31</v>
      </c>
      <c r="G7" s="125">
        <v>86000</v>
      </c>
    </row>
    <row r="8" spans="1:13" x14ac:dyDescent="0.3">
      <c r="B8" s="70" t="s">
        <v>2</v>
      </c>
      <c r="C8" s="69"/>
      <c r="D8" s="98"/>
      <c r="E8"/>
      <c r="F8" s="123" t="s">
        <v>36</v>
      </c>
      <c r="G8" s="125">
        <v>40000</v>
      </c>
    </row>
    <row r="9" spans="1:13" x14ac:dyDescent="0.3">
      <c r="B9" s="65" t="s">
        <v>2</v>
      </c>
      <c r="C9" s="64"/>
      <c r="D9" s="199" t="s">
        <v>430</v>
      </c>
      <c r="E9"/>
      <c r="F9" s="123" t="s">
        <v>57</v>
      </c>
      <c r="G9" s="125">
        <v>12000</v>
      </c>
    </row>
    <row r="10" spans="1:13" x14ac:dyDescent="0.3">
      <c r="B10" s="70" t="s">
        <v>35</v>
      </c>
      <c r="C10" s="98"/>
      <c r="D10" s="69">
        <v>50000</v>
      </c>
      <c r="E10"/>
      <c r="F10" s="123"/>
      <c r="G10" s="125"/>
    </row>
    <row r="11" spans="1:13" x14ac:dyDescent="0.3">
      <c r="B11" s="65" t="s">
        <v>37</v>
      </c>
      <c r="C11" s="79"/>
      <c r="D11" s="72">
        <v>20000</v>
      </c>
      <c r="E11"/>
      <c r="F11" s="126"/>
      <c r="G11" s="127">
        <f>SUM(G7:G9)</f>
        <v>138000</v>
      </c>
    </row>
    <row r="12" spans="1:13" x14ac:dyDescent="0.3">
      <c r="B12" s="70" t="s">
        <v>7</v>
      </c>
      <c r="C12" s="98"/>
      <c r="D12" s="69">
        <v>3000</v>
      </c>
      <c r="E12"/>
      <c r="J12" s="1"/>
      <c r="K12" s="1"/>
    </row>
    <row r="13" spans="1:13" x14ac:dyDescent="0.3">
      <c r="B13" s="65" t="s">
        <v>38</v>
      </c>
      <c r="C13" s="79"/>
      <c r="D13" s="72">
        <v>9000</v>
      </c>
      <c r="E13"/>
      <c r="I13" s="129" t="s">
        <v>58</v>
      </c>
      <c r="J13" s="124"/>
      <c r="K13" s="1"/>
    </row>
    <row r="14" spans="1:13" x14ac:dyDescent="0.3">
      <c r="B14" s="70" t="s">
        <v>39</v>
      </c>
      <c r="C14" s="69"/>
      <c r="D14" s="142"/>
      <c r="E14"/>
      <c r="I14" s="130" t="s">
        <v>59</v>
      </c>
      <c r="J14" s="125">
        <v>4000</v>
      </c>
      <c r="K14" s="1"/>
    </row>
    <row r="15" spans="1:13" x14ac:dyDescent="0.3">
      <c r="B15" s="65" t="s">
        <v>6</v>
      </c>
      <c r="C15" s="72"/>
      <c r="D15" s="79"/>
      <c r="E15"/>
      <c r="I15" s="130" t="s">
        <v>60</v>
      </c>
      <c r="J15" s="125">
        <v>4000</v>
      </c>
      <c r="K15" s="1"/>
    </row>
    <row r="16" spans="1:13" x14ac:dyDescent="0.3">
      <c r="B16" s="70" t="s">
        <v>40</v>
      </c>
      <c r="C16" s="69"/>
      <c r="D16" s="98">
        <v>2500</v>
      </c>
      <c r="E16"/>
      <c r="I16" s="130" t="s">
        <v>61</v>
      </c>
      <c r="J16" s="125">
        <v>3000</v>
      </c>
      <c r="K16" s="1"/>
    </row>
    <row r="17" spans="2:11" x14ac:dyDescent="0.3">
      <c r="B17" s="65" t="s">
        <v>41</v>
      </c>
      <c r="C17" s="66">
        <v>13000</v>
      </c>
      <c r="D17" s="79"/>
      <c r="E17"/>
      <c r="I17" s="130" t="s">
        <v>62</v>
      </c>
      <c r="J17" s="125">
        <v>1950</v>
      </c>
      <c r="K17" s="1"/>
    </row>
    <row r="18" spans="2:11" x14ac:dyDescent="0.3">
      <c r="B18" s="70" t="s">
        <v>48</v>
      </c>
      <c r="C18" s="69"/>
      <c r="D18" s="98">
        <v>20300</v>
      </c>
      <c r="E18"/>
      <c r="I18" s="131"/>
      <c r="J18" s="132">
        <f>SUM(J14:J17)</f>
        <v>12950</v>
      </c>
      <c r="K18" s="1"/>
    </row>
    <row r="19" spans="2:11" x14ac:dyDescent="0.3">
      <c r="B19" s="65" t="s">
        <v>49</v>
      </c>
      <c r="C19" s="64"/>
      <c r="D19" s="86">
        <v>20000</v>
      </c>
      <c r="E19"/>
      <c r="J19" s="1"/>
      <c r="K19" s="1"/>
    </row>
    <row r="20" spans="2:11" x14ac:dyDescent="0.3">
      <c r="B20" s="70" t="s">
        <v>50</v>
      </c>
      <c r="C20" s="69"/>
      <c r="D20" s="98"/>
      <c r="E20"/>
      <c r="J20" s="1"/>
      <c r="K20" s="1"/>
    </row>
    <row r="21" spans="2:11" x14ac:dyDescent="0.3">
      <c r="B21" s="65" t="s">
        <v>51</v>
      </c>
      <c r="C21" s="64"/>
      <c r="D21" s="79"/>
      <c r="E21"/>
    </row>
    <row r="22" spans="2:11" x14ac:dyDescent="0.3">
      <c r="B22" s="70" t="s">
        <v>52</v>
      </c>
      <c r="C22" s="69"/>
      <c r="D22" s="98"/>
      <c r="E22"/>
    </row>
    <row r="23" spans="2:11" x14ac:dyDescent="0.3">
      <c r="B23" s="65" t="s">
        <v>53</v>
      </c>
      <c r="C23" s="64"/>
      <c r="D23" s="79"/>
      <c r="E23"/>
    </row>
    <row r="24" spans="2:11" x14ac:dyDescent="0.3">
      <c r="B24" s="70" t="s">
        <v>54</v>
      </c>
      <c r="C24" s="69"/>
      <c r="D24" s="98"/>
      <c r="E24"/>
    </row>
    <row r="25" spans="2:11" x14ac:dyDescent="0.3">
      <c r="B25" s="65" t="s">
        <v>31</v>
      </c>
      <c r="C25" s="64"/>
      <c r="D25" s="79"/>
      <c r="E25"/>
    </row>
    <row r="26" spans="2:11" s="1" customFormat="1" x14ac:dyDescent="0.3">
      <c r="B26" s="70" t="s">
        <v>55</v>
      </c>
      <c r="C26" s="69"/>
      <c r="D26" s="98"/>
      <c r="E26"/>
      <c r="I26"/>
      <c r="J26"/>
      <c r="K26"/>
    </row>
    <row r="27" spans="2:11" s="1" customFormat="1" x14ac:dyDescent="0.3">
      <c r="B27" s="65" t="s">
        <v>63</v>
      </c>
      <c r="C27" s="66">
        <v>17470</v>
      </c>
      <c r="D27" s="79"/>
      <c r="E27"/>
      <c r="I27"/>
      <c r="J27"/>
      <c r="K27"/>
    </row>
    <row r="28" spans="2:11" s="1" customFormat="1" x14ac:dyDescent="0.3">
      <c r="B28" s="70"/>
      <c r="C28" s="71">
        <f>SUM(C7:C27)</f>
        <v>140470</v>
      </c>
      <c r="D28" s="101">
        <f>SUM(D7:D27)</f>
        <v>124800</v>
      </c>
      <c r="E28"/>
      <c r="I28"/>
      <c r="J28"/>
      <c r="K28"/>
    </row>
    <row r="29" spans="2:11" x14ac:dyDescent="0.3">
      <c r="B29" s="65"/>
      <c r="C29" s="64"/>
      <c r="D29" s="79"/>
      <c r="E29"/>
    </row>
    <row r="30" spans="2:11" x14ac:dyDescent="0.3">
      <c r="B30" s="70"/>
      <c r="C30" s="69"/>
      <c r="D30" s="98"/>
      <c r="E30"/>
    </row>
    <row r="31" spans="2:11" x14ac:dyDescent="0.3">
      <c r="B31" s="65"/>
      <c r="C31" s="64"/>
      <c r="D31" s="79"/>
      <c r="E31"/>
    </row>
    <row r="32" spans="2:11" x14ac:dyDescent="0.3">
      <c r="B32" s="70"/>
      <c r="C32" s="69"/>
      <c r="D32" s="98"/>
      <c r="E32"/>
    </row>
    <row r="33" spans="2:11" x14ac:dyDescent="0.3">
      <c r="B33" s="200" t="s">
        <v>431</v>
      </c>
      <c r="C33" s="185"/>
      <c r="D33" s="186"/>
      <c r="E33"/>
    </row>
    <row r="34" spans="2:11" s="1" customFormat="1" x14ac:dyDescent="0.3">
      <c r="B34" s="77" t="s">
        <v>64</v>
      </c>
      <c r="C34" s="70"/>
      <c r="D34" s="70"/>
      <c r="E34"/>
      <c r="F34"/>
      <c r="G34"/>
      <c r="I34"/>
      <c r="J34"/>
      <c r="K34"/>
    </row>
    <row r="35" spans="2:11" x14ac:dyDescent="0.3">
      <c r="B35" s="73" t="s">
        <v>65</v>
      </c>
      <c r="C35" s="74">
        <v>1159</v>
      </c>
      <c r="D35" s="65" t="s">
        <v>66</v>
      </c>
      <c r="E35"/>
      <c r="F35" s="18"/>
      <c r="G35" s="18"/>
    </row>
    <row r="36" spans="2:11" s="1" customFormat="1" x14ac:dyDescent="0.3">
      <c r="B36" s="77" t="s">
        <v>67</v>
      </c>
      <c r="C36" s="78">
        <v>3499</v>
      </c>
      <c r="D36" s="70" t="s">
        <v>66</v>
      </c>
      <c r="E36"/>
      <c r="F36" s="18"/>
      <c r="G36" s="18"/>
      <c r="I36"/>
      <c r="J36"/>
      <c r="K36"/>
    </row>
    <row r="37" spans="2:11" s="1" customFormat="1" x14ac:dyDescent="0.3">
      <c r="B37" s="73" t="s">
        <v>68</v>
      </c>
      <c r="C37" s="74">
        <v>3499</v>
      </c>
      <c r="D37" s="65" t="s">
        <v>66</v>
      </c>
      <c r="E37"/>
      <c r="F37" s="18"/>
      <c r="G37" s="18"/>
      <c r="I37"/>
      <c r="J37"/>
      <c r="K37"/>
    </row>
    <row r="38" spans="2:11" x14ac:dyDescent="0.3">
      <c r="B38" s="77" t="s">
        <v>69</v>
      </c>
      <c r="C38" s="78">
        <v>2327</v>
      </c>
      <c r="D38" s="70" t="s">
        <v>66</v>
      </c>
      <c r="E38"/>
      <c r="F38" s="18"/>
      <c r="G38" s="18"/>
    </row>
    <row r="39" spans="2:11" x14ac:dyDescent="0.3">
      <c r="B39" s="65"/>
      <c r="C39" s="75">
        <f>SUM(C35:C38)</f>
        <v>10484</v>
      </c>
      <c r="D39" s="64"/>
      <c r="E39"/>
      <c r="F39" s="19"/>
      <c r="G39" s="19"/>
    </row>
    <row r="40" spans="2:11" x14ac:dyDescent="0.3">
      <c r="B40" s="202" t="s">
        <v>429</v>
      </c>
      <c r="C40" s="201"/>
      <c r="D40" s="142"/>
      <c r="E40"/>
    </row>
    <row r="41" spans="2:11" x14ac:dyDescent="0.3">
      <c r="B41" s="73" t="s">
        <v>70</v>
      </c>
      <c r="C41" s="64">
        <v>3493</v>
      </c>
      <c r="D41" s="180"/>
      <c r="E41"/>
    </row>
    <row r="42" spans="2:11" x14ac:dyDescent="0.3">
      <c r="B42" s="77" t="s">
        <v>71</v>
      </c>
      <c r="C42" s="69">
        <v>3493</v>
      </c>
      <c r="D42" s="179"/>
      <c r="E42"/>
    </row>
    <row r="43" spans="2:11" x14ac:dyDescent="0.3">
      <c r="B43" s="65"/>
      <c r="C43" s="76">
        <f>SUM(C41:C42)</f>
        <v>6986</v>
      </c>
      <c r="D43" s="180"/>
      <c r="E43"/>
      <c r="F43" s="3"/>
      <c r="G43" s="3"/>
    </row>
    <row r="44" spans="2:11" x14ac:dyDescent="0.3">
      <c r="C44"/>
      <c r="D44"/>
      <c r="E44"/>
      <c r="F44"/>
      <c r="G44"/>
    </row>
    <row r="45" spans="2:11" x14ac:dyDescent="0.3">
      <c r="C45" s="20">
        <f>C39+C43</f>
        <v>17470</v>
      </c>
      <c r="D45"/>
      <c r="E45"/>
      <c r="F45" s="20"/>
      <c r="G45" s="20"/>
    </row>
    <row r="46" spans="2:11" x14ac:dyDescent="0.3">
      <c r="E46"/>
    </row>
    <row r="47" spans="2:11" x14ac:dyDescent="0.3">
      <c r="C47" s="1">
        <v>40000</v>
      </c>
      <c r="E47"/>
    </row>
    <row r="48" spans="2:11" x14ac:dyDescent="0.3">
      <c r="C48" s="21">
        <f>C45-C47</f>
        <v>-22530</v>
      </c>
      <c r="E48"/>
      <c r="F48" s="21"/>
      <c r="G48" s="21"/>
    </row>
  </sheetData>
  <mergeCells count="1">
    <mergeCell ref="L1:M1"/>
  </mergeCells>
  <conditionalFormatting sqref="M6">
    <cfRule type="cellIs" dxfId="53" priority="1" operator="lessThan">
      <formula>0</formula>
    </cfRule>
  </conditionalFormatting>
  <conditionalFormatting sqref="M6">
    <cfRule type="cellIs" dxfId="5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8EEF-388A-495D-8C40-26D600F673B9}">
  <dimension ref="A1:Q49"/>
  <sheetViews>
    <sheetView topLeftCell="B1" workbookViewId="0">
      <pane ySplit="5" topLeftCell="A17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P1" s="269" t="s">
        <v>445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P2" s="85" t="s">
        <v>425</v>
      </c>
      <c r="Q2" s="270">
        <f>C29</f>
        <v>207784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P3" s="85" t="s">
        <v>269</v>
      </c>
      <c r="Q3" s="270">
        <f>D29</f>
        <v>74150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P4" s="85" t="s">
        <v>423</v>
      </c>
      <c r="Q4" s="270">
        <f>H11</f>
        <v>138000</v>
      </c>
    </row>
    <row r="5" spans="1:17" x14ac:dyDescent="0.3">
      <c r="B5" s="145" t="s">
        <v>420</v>
      </c>
      <c r="C5" s="143" t="s">
        <v>90</v>
      </c>
      <c r="D5" s="152" t="s">
        <v>91</v>
      </c>
      <c r="E5"/>
      <c r="F5"/>
      <c r="G5"/>
      <c r="H5"/>
      <c r="I5"/>
      <c r="P5" s="85" t="s">
        <v>424</v>
      </c>
      <c r="Q5" s="270">
        <f>K18</f>
        <v>12950</v>
      </c>
    </row>
    <row r="6" spans="1:17" ht="17.399999999999999" x14ac:dyDescent="0.35">
      <c r="B6" s="146" t="s">
        <v>72</v>
      </c>
      <c r="C6" s="69"/>
      <c r="D6" s="153"/>
      <c r="E6"/>
      <c r="G6" s="159" t="s">
        <v>56</v>
      </c>
      <c r="H6" s="162"/>
      <c r="P6" s="271" t="s">
        <v>444</v>
      </c>
      <c r="Q6" s="272">
        <f>Q4-Q5-Q2</f>
        <v>-82734</v>
      </c>
    </row>
    <row r="7" spans="1:17" x14ac:dyDescent="0.3">
      <c r="B7" s="147" t="s">
        <v>30</v>
      </c>
      <c r="C7" s="66">
        <v>120000</v>
      </c>
      <c r="D7" s="154"/>
      <c r="E7"/>
      <c r="G7" s="160" t="s">
        <v>31</v>
      </c>
      <c r="H7" s="163">
        <v>86000</v>
      </c>
    </row>
    <row r="8" spans="1:17" x14ac:dyDescent="0.3">
      <c r="B8" s="148" t="s">
        <v>2</v>
      </c>
      <c r="C8" s="69"/>
      <c r="D8" s="153"/>
      <c r="E8"/>
      <c r="G8" s="160" t="s">
        <v>36</v>
      </c>
      <c r="H8" s="163">
        <v>40000</v>
      </c>
    </row>
    <row r="9" spans="1:17" x14ac:dyDescent="0.3">
      <c r="B9" s="147" t="s">
        <v>73</v>
      </c>
      <c r="C9" s="64"/>
      <c r="D9" s="155"/>
      <c r="E9"/>
      <c r="G9" s="161" t="s">
        <v>57</v>
      </c>
      <c r="H9" s="164">
        <v>12000</v>
      </c>
    </row>
    <row r="10" spans="1:17" x14ac:dyDescent="0.3">
      <c r="B10" s="148" t="s">
        <v>35</v>
      </c>
      <c r="C10" s="69">
        <v>50000</v>
      </c>
      <c r="D10" s="153"/>
      <c r="E10"/>
      <c r="G10" s="157"/>
      <c r="H10" s="158"/>
    </row>
    <row r="11" spans="1:17" x14ac:dyDescent="0.3">
      <c r="B11" s="147" t="s">
        <v>37</v>
      </c>
      <c r="C11" s="66">
        <v>10000</v>
      </c>
      <c r="D11" s="155"/>
      <c r="E11"/>
      <c r="G11" s="126"/>
      <c r="H11" s="127">
        <f>SUM(H7:H9)</f>
        <v>138000</v>
      </c>
    </row>
    <row r="12" spans="1:17" x14ac:dyDescent="0.3">
      <c r="B12" s="148" t="s">
        <v>7</v>
      </c>
      <c r="C12" s="69">
        <v>2784</v>
      </c>
      <c r="D12" s="153">
        <v>3000</v>
      </c>
      <c r="E12"/>
      <c r="K12" s="1"/>
      <c r="L12" s="1"/>
      <c r="N12" s="1"/>
    </row>
    <row r="13" spans="1:17" x14ac:dyDescent="0.3">
      <c r="B13" s="147" t="s">
        <v>38</v>
      </c>
      <c r="C13" s="64"/>
      <c r="D13" s="155">
        <v>9000</v>
      </c>
      <c r="E13"/>
      <c r="J13" s="165" t="s">
        <v>58</v>
      </c>
      <c r="K13" s="162"/>
      <c r="L13" s="1"/>
      <c r="M13" s="206" t="s">
        <v>429</v>
      </c>
      <c r="N13" s="1"/>
    </row>
    <row r="14" spans="1:17" x14ac:dyDescent="0.3">
      <c r="B14" s="148" t="s">
        <v>39</v>
      </c>
      <c r="C14" s="69"/>
      <c r="D14" s="153"/>
      <c r="E14"/>
      <c r="J14" s="166" t="s">
        <v>59</v>
      </c>
      <c r="K14" s="163">
        <v>4000</v>
      </c>
      <c r="L14" s="1"/>
      <c r="M14" s="203" t="s">
        <v>74</v>
      </c>
      <c r="N14" s="204">
        <f>4000</f>
        <v>4000</v>
      </c>
    </row>
    <row r="15" spans="1:17" x14ac:dyDescent="0.3">
      <c r="B15" s="147" t="s">
        <v>6</v>
      </c>
      <c r="C15" s="72"/>
      <c r="D15" s="154"/>
      <c r="E15"/>
      <c r="J15" s="166" t="s">
        <v>60</v>
      </c>
      <c r="K15" s="163">
        <v>4000</v>
      </c>
      <c r="L15" s="1"/>
      <c r="M15" s="192" t="s">
        <v>59</v>
      </c>
      <c r="N15" s="196">
        <f>4000</f>
        <v>4000</v>
      </c>
    </row>
    <row r="16" spans="1:17" x14ac:dyDescent="0.3">
      <c r="B16" s="148" t="s">
        <v>40</v>
      </c>
      <c r="C16" s="69"/>
      <c r="D16" s="153">
        <v>2500</v>
      </c>
      <c r="E16"/>
      <c r="J16" s="166" t="s">
        <v>61</v>
      </c>
      <c r="K16" s="163">
        <v>3000</v>
      </c>
      <c r="L16" s="1"/>
      <c r="M16" s="192" t="s">
        <v>75</v>
      </c>
      <c r="N16" s="196">
        <v>1950</v>
      </c>
    </row>
    <row r="17" spans="2:14" x14ac:dyDescent="0.3">
      <c r="B17" s="147" t="s">
        <v>41</v>
      </c>
      <c r="C17" s="72">
        <f>4000+4000+2000+3000+2000</f>
        <v>15000</v>
      </c>
      <c r="D17" s="154"/>
      <c r="E17"/>
      <c r="J17" s="166" t="s">
        <v>62</v>
      </c>
      <c r="K17" s="163">
        <v>1950</v>
      </c>
      <c r="L17" s="1"/>
      <c r="M17" s="192" t="s">
        <v>76</v>
      </c>
      <c r="N17" s="196">
        <v>3000</v>
      </c>
    </row>
    <row r="18" spans="2:14" x14ac:dyDescent="0.3">
      <c r="B18" s="148" t="s">
        <v>48</v>
      </c>
      <c r="C18" s="69"/>
      <c r="D18" s="153">
        <v>20300</v>
      </c>
      <c r="E18"/>
      <c r="J18" s="167"/>
      <c r="K18" s="168">
        <f>SUM(K14:K17)</f>
        <v>12950</v>
      </c>
      <c r="L18" s="1"/>
      <c r="M18" s="192" t="s">
        <v>77</v>
      </c>
      <c r="N18" s="196">
        <v>2050</v>
      </c>
    </row>
    <row r="19" spans="2:14" x14ac:dyDescent="0.3">
      <c r="B19" s="147" t="s">
        <v>49</v>
      </c>
      <c r="C19" s="64"/>
      <c r="D19" s="155">
        <v>20000</v>
      </c>
      <c r="E19"/>
      <c r="K19" s="1"/>
      <c r="L19" s="1"/>
      <c r="M19" s="195"/>
      <c r="N19" s="205">
        <f>SUM(N14:N18)</f>
        <v>15000</v>
      </c>
    </row>
    <row r="20" spans="2:14" x14ac:dyDescent="0.3">
      <c r="B20" s="148" t="s">
        <v>50</v>
      </c>
      <c r="C20" s="69"/>
      <c r="D20" s="153"/>
      <c r="E20"/>
      <c r="H20" s="207" t="s">
        <v>432</v>
      </c>
      <c r="K20" s="1"/>
      <c r="L20" s="1"/>
      <c r="N20" s="1"/>
    </row>
    <row r="21" spans="2:14" x14ac:dyDescent="0.3">
      <c r="B21" s="147" t="s">
        <v>51</v>
      </c>
      <c r="C21" s="64"/>
      <c r="D21" s="155"/>
      <c r="E21"/>
      <c r="H21" s="185" t="s">
        <v>78</v>
      </c>
      <c r="M21" s="206" t="s">
        <v>429</v>
      </c>
      <c r="N21" s="1"/>
    </row>
    <row r="22" spans="2:14" x14ac:dyDescent="0.3">
      <c r="B22" s="148" t="s">
        <v>52</v>
      </c>
      <c r="C22" s="69"/>
      <c r="D22" s="153"/>
      <c r="E22"/>
      <c r="H22" s="183" t="s">
        <v>79</v>
      </c>
      <c r="M22" s="203"/>
      <c r="N22" s="204">
        <v>135000</v>
      </c>
    </row>
    <row r="23" spans="2:14" x14ac:dyDescent="0.3">
      <c r="B23" s="147" t="s">
        <v>53</v>
      </c>
      <c r="C23" s="64"/>
      <c r="D23" s="155"/>
      <c r="E23"/>
      <c r="H23" s="183" t="s">
        <v>80</v>
      </c>
      <c r="M23" s="192"/>
      <c r="N23" s="196">
        <v>80000</v>
      </c>
    </row>
    <row r="24" spans="2:14" x14ac:dyDescent="0.3">
      <c r="B24" s="148" t="s">
        <v>81</v>
      </c>
      <c r="C24" s="69">
        <f>250000*0.04</f>
        <v>10000</v>
      </c>
      <c r="D24" s="153"/>
      <c r="E24"/>
      <c r="H24" s="183" t="s">
        <v>82</v>
      </c>
      <c r="M24" s="192"/>
      <c r="N24" s="196">
        <f>N22-N23</f>
        <v>55000</v>
      </c>
    </row>
    <row r="25" spans="2:14" x14ac:dyDescent="0.3">
      <c r="B25" s="147" t="s">
        <v>31</v>
      </c>
      <c r="C25" s="64"/>
      <c r="D25" s="155"/>
      <c r="E25"/>
      <c r="H25" s="178" t="s">
        <v>83</v>
      </c>
      <c r="M25" s="192" t="s">
        <v>84</v>
      </c>
      <c r="N25" s="196">
        <v>12000</v>
      </c>
    </row>
    <row r="26" spans="2:14" s="1" customFormat="1" x14ac:dyDescent="0.3">
      <c r="B26" s="148" t="s">
        <v>55</v>
      </c>
      <c r="C26" s="69"/>
      <c r="D26" s="153"/>
      <c r="E26"/>
      <c r="F26" s="8"/>
      <c r="J26"/>
      <c r="K26"/>
      <c r="L26"/>
      <c r="M26" s="208" t="s">
        <v>85</v>
      </c>
      <c r="N26" s="196">
        <v>2784</v>
      </c>
    </row>
    <row r="27" spans="2:14" s="1" customFormat="1" x14ac:dyDescent="0.3">
      <c r="B27" s="149" t="s">
        <v>86</v>
      </c>
      <c r="C27" s="64"/>
      <c r="D27" s="155">
        <f>7*1050</f>
        <v>7350</v>
      </c>
      <c r="E27"/>
      <c r="F27" s="8"/>
      <c r="J27"/>
      <c r="K27"/>
      <c r="L27"/>
      <c r="M27" s="209"/>
      <c r="N27" s="205">
        <f>N24-N25-N26</f>
        <v>40216</v>
      </c>
    </row>
    <row r="28" spans="2:14" s="1" customFormat="1" x14ac:dyDescent="0.3">
      <c r="B28" s="150" t="s">
        <v>87</v>
      </c>
      <c r="C28" s="69"/>
      <c r="D28" s="153">
        <v>12000</v>
      </c>
      <c r="E28"/>
      <c r="F28" s="8"/>
      <c r="J28"/>
      <c r="K28"/>
      <c r="L28"/>
    </row>
    <row r="29" spans="2:14" s="1" customFormat="1" x14ac:dyDescent="0.3">
      <c r="B29" s="151"/>
      <c r="C29" s="144">
        <f>SUM(C7:C27)</f>
        <v>207784</v>
      </c>
      <c r="D29" s="156">
        <f>SUM(D7:D28)</f>
        <v>74150</v>
      </c>
      <c r="E29"/>
      <c r="F29" s="22"/>
      <c r="H29" s="1">
        <f>15*30</f>
        <v>450</v>
      </c>
      <c r="J29"/>
      <c r="K29"/>
      <c r="L29"/>
      <c r="N29" s="169">
        <v>78000</v>
      </c>
    </row>
    <row r="30" spans="2:14" x14ac:dyDescent="0.3">
      <c r="B30" s="140"/>
      <c r="C30" s="141"/>
      <c r="D30" s="142"/>
      <c r="E30"/>
      <c r="H30" s="1" t="s">
        <v>88</v>
      </c>
      <c r="N30" s="170">
        <v>40000</v>
      </c>
    </row>
    <row r="31" spans="2:14" x14ac:dyDescent="0.3">
      <c r="B31" s="65"/>
      <c r="C31" s="64"/>
      <c r="D31" s="79"/>
      <c r="E31"/>
      <c r="N31" s="171">
        <f>SUM(N29:N30)</f>
        <v>118000</v>
      </c>
    </row>
    <row r="32" spans="2:14" x14ac:dyDescent="0.3">
      <c r="B32" s="70"/>
      <c r="C32" s="69"/>
      <c r="D32" s="98"/>
      <c r="E32"/>
    </row>
    <row r="33" spans="2:12" x14ac:dyDescent="0.3">
      <c r="B33" s="65"/>
      <c r="C33" s="64"/>
      <c r="D33" s="79"/>
      <c r="E33"/>
    </row>
    <row r="34" spans="2:12" x14ac:dyDescent="0.3">
      <c r="B34" s="200" t="s">
        <v>431</v>
      </c>
      <c r="C34" s="176"/>
      <c r="D34" s="98"/>
      <c r="E34"/>
    </row>
    <row r="35" spans="2:12" s="1" customFormat="1" x14ac:dyDescent="0.3">
      <c r="B35" s="73" t="s">
        <v>64</v>
      </c>
      <c r="C35" s="65"/>
      <c r="D35" s="172"/>
      <c r="E35" s="210" t="s">
        <v>432</v>
      </c>
      <c r="F35"/>
      <c r="G35"/>
      <c r="H35"/>
      <c r="J35"/>
      <c r="K35"/>
      <c r="L35"/>
    </row>
    <row r="36" spans="2:12" x14ac:dyDescent="0.3">
      <c r="B36" s="77" t="s">
        <v>65</v>
      </c>
      <c r="C36" s="78">
        <v>1159</v>
      </c>
      <c r="D36" s="173"/>
      <c r="E36" s="184" t="s">
        <v>66</v>
      </c>
      <c r="F36" s="18"/>
      <c r="G36" s="18"/>
      <c r="H36" s="18"/>
    </row>
    <row r="37" spans="2:12" s="1" customFormat="1" x14ac:dyDescent="0.3">
      <c r="B37" s="73" t="s">
        <v>67</v>
      </c>
      <c r="C37" s="74">
        <v>3499</v>
      </c>
      <c r="D37" s="174"/>
      <c r="E37" s="182" t="s">
        <v>66</v>
      </c>
      <c r="F37" s="18"/>
      <c r="G37" s="18"/>
      <c r="H37" s="18"/>
      <c r="J37"/>
      <c r="K37"/>
      <c r="L37"/>
    </row>
    <row r="38" spans="2:12" s="1" customFormat="1" x14ac:dyDescent="0.3">
      <c r="B38" s="77" t="s">
        <v>68</v>
      </c>
      <c r="C38" s="78">
        <v>3499</v>
      </c>
      <c r="D38" s="173"/>
      <c r="E38" s="182" t="s">
        <v>66</v>
      </c>
      <c r="F38" s="18"/>
      <c r="G38" s="18"/>
      <c r="H38" s="18"/>
      <c r="J38"/>
      <c r="K38"/>
      <c r="L38"/>
    </row>
    <row r="39" spans="2:12" x14ac:dyDescent="0.3">
      <c r="B39" s="73" t="s">
        <v>69</v>
      </c>
      <c r="C39" s="74">
        <v>2327</v>
      </c>
      <c r="D39" s="174"/>
      <c r="E39" s="177" t="s">
        <v>66</v>
      </c>
      <c r="F39" s="18"/>
      <c r="G39" s="18"/>
      <c r="H39" s="18"/>
    </row>
    <row r="40" spans="2:12" x14ac:dyDescent="0.3">
      <c r="B40" s="70"/>
      <c r="C40" s="80">
        <f>SUM(C36:C39)</f>
        <v>10484</v>
      </c>
      <c r="D40" s="175"/>
      <c r="E40"/>
      <c r="F40" s="23"/>
      <c r="G40" s="19"/>
      <c r="H40" s="19"/>
    </row>
    <row r="41" spans="2:12" x14ac:dyDescent="0.3">
      <c r="B41" s="202" t="s">
        <v>429</v>
      </c>
      <c r="C41" s="183"/>
      <c r="D41" s="79"/>
      <c r="E41"/>
    </row>
    <row r="42" spans="2:12" x14ac:dyDescent="0.3">
      <c r="B42" s="77" t="s">
        <v>70</v>
      </c>
      <c r="C42" s="69">
        <v>3493</v>
      </c>
      <c r="D42" s="179"/>
      <c r="E42"/>
    </row>
    <row r="43" spans="2:12" x14ac:dyDescent="0.3">
      <c r="B43" s="73" t="s">
        <v>71</v>
      </c>
      <c r="C43" s="64">
        <v>3493</v>
      </c>
      <c r="D43" s="180"/>
      <c r="E43"/>
    </row>
    <row r="44" spans="2:12" x14ac:dyDescent="0.3">
      <c r="B44" s="70"/>
      <c r="C44" s="81">
        <f>SUM(C42:C43)</f>
        <v>6986</v>
      </c>
      <c r="D44" s="181"/>
      <c r="E44"/>
      <c r="F44" s="24"/>
      <c r="G44" s="3"/>
      <c r="H44" s="3"/>
    </row>
    <row r="45" spans="2:12" x14ac:dyDescent="0.3">
      <c r="C45"/>
      <c r="D45"/>
      <c r="E45"/>
      <c r="F45"/>
      <c r="G45"/>
      <c r="H45"/>
    </row>
    <row r="46" spans="2:12" x14ac:dyDescent="0.3">
      <c r="C46" s="20">
        <f>C40+C44</f>
        <v>17470</v>
      </c>
      <c r="D46" s="20"/>
      <c r="E46"/>
      <c r="F46" s="25"/>
      <c r="G46" s="20"/>
      <c r="H46" s="20"/>
    </row>
    <row r="47" spans="2:12" x14ac:dyDescent="0.3">
      <c r="E47"/>
    </row>
    <row r="48" spans="2:12" x14ac:dyDescent="0.3">
      <c r="C48" s="1">
        <v>40000</v>
      </c>
      <c r="E48"/>
    </row>
    <row r="49" spans="3:8" x14ac:dyDescent="0.3">
      <c r="C49" s="21">
        <f>C46-C48</f>
        <v>-22530</v>
      </c>
      <c r="D49" s="21"/>
      <c r="E49"/>
      <c r="F49" s="26"/>
      <c r="G49" s="21"/>
      <c r="H49" s="21"/>
    </row>
  </sheetData>
  <mergeCells count="1">
    <mergeCell ref="P1:Q1"/>
  </mergeCells>
  <conditionalFormatting sqref="Q6">
    <cfRule type="cellIs" dxfId="51" priority="1" operator="lessThan">
      <formula>0</formula>
    </cfRule>
  </conditionalFormatting>
  <conditionalFormatting sqref="Q6">
    <cfRule type="cellIs" dxfId="5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B688-A1B0-44A2-A326-F746CD57AF92}">
  <dimension ref="A1:Q3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2" max="12" width="14.6640625" bestFit="1" customWidth="1"/>
    <col min="13" max="14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M1"/>
      <c r="N1"/>
      <c r="P1" s="269" t="s">
        <v>445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M2"/>
      <c r="N2"/>
      <c r="P2" s="85" t="s">
        <v>425</v>
      </c>
      <c r="Q2" s="270">
        <f>C28</f>
        <v>446604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M3"/>
      <c r="N3"/>
      <c r="P3" s="85" t="s">
        <v>269</v>
      </c>
      <c r="Q3" s="270">
        <f>D28</f>
        <v>294012.05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M4"/>
      <c r="N4"/>
      <c r="P4" s="85" t="s">
        <v>423</v>
      </c>
      <c r="Q4" s="270">
        <f>H11</f>
        <v>446470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M5"/>
      <c r="N5"/>
      <c r="P5" s="85" t="s">
        <v>424</v>
      </c>
      <c r="Q5" s="270">
        <f>H20</f>
        <v>16950</v>
      </c>
    </row>
    <row r="6" spans="1:17" ht="17.399999999999999" x14ac:dyDescent="0.35">
      <c r="B6" s="68" t="s">
        <v>89</v>
      </c>
      <c r="C6" s="82" t="s">
        <v>90</v>
      </c>
      <c r="D6" s="103" t="s">
        <v>91</v>
      </c>
      <c r="E6"/>
      <c r="G6" s="122" t="s">
        <v>92</v>
      </c>
      <c r="H6" s="124"/>
      <c r="P6" s="271" t="s">
        <v>444</v>
      </c>
      <c r="Q6" s="272">
        <f>Q4-Q5-Q2</f>
        <v>-17084</v>
      </c>
    </row>
    <row r="7" spans="1:17" x14ac:dyDescent="0.3">
      <c r="B7" s="65" t="s">
        <v>30</v>
      </c>
      <c r="C7" s="72">
        <v>115000</v>
      </c>
      <c r="D7" s="86"/>
      <c r="E7"/>
      <c r="G7" s="123" t="s">
        <v>31</v>
      </c>
      <c r="H7" s="125">
        <f>70000-2250-4000-19000</f>
        <v>44750</v>
      </c>
      <c r="M7" s="3" t="s">
        <v>56</v>
      </c>
    </row>
    <row r="8" spans="1:17" x14ac:dyDescent="0.3">
      <c r="B8" s="70" t="s">
        <v>2</v>
      </c>
      <c r="C8" s="69"/>
      <c r="D8" s="98">
        <v>50000</v>
      </c>
      <c r="E8"/>
      <c r="G8" s="123" t="s">
        <v>93</v>
      </c>
      <c r="H8" s="125">
        <v>199760</v>
      </c>
      <c r="M8" s="29" t="s">
        <v>94</v>
      </c>
      <c r="N8" s="29" t="s">
        <v>95</v>
      </c>
    </row>
    <row r="9" spans="1:17" x14ac:dyDescent="0.3">
      <c r="B9" s="65" t="s">
        <v>73</v>
      </c>
      <c r="C9" s="72">
        <v>5000</v>
      </c>
      <c r="D9" s="79"/>
      <c r="E9"/>
      <c r="G9" s="123" t="s">
        <v>93</v>
      </c>
      <c r="H9" s="125">
        <v>201960</v>
      </c>
      <c r="L9" t="s">
        <v>96</v>
      </c>
      <c r="M9" s="1">
        <v>150</v>
      </c>
      <c r="N9" s="1">
        <v>150</v>
      </c>
    </row>
    <row r="10" spans="1:17" x14ac:dyDescent="0.3">
      <c r="B10" s="70" t="s">
        <v>35</v>
      </c>
      <c r="C10" s="69"/>
      <c r="D10" s="98">
        <v>50000</v>
      </c>
      <c r="E10"/>
      <c r="G10" s="123"/>
      <c r="H10" s="125"/>
      <c r="L10" t="s">
        <v>97</v>
      </c>
      <c r="M10" s="1">
        <v>80</v>
      </c>
      <c r="N10" s="1">
        <v>80</v>
      </c>
    </row>
    <row r="11" spans="1:17" x14ac:dyDescent="0.3">
      <c r="B11" s="65" t="s">
        <v>37</v>
      </c>
      <c r="C11" s="72">
        <v>10000</v>
      </c>
      <c r="D11" s="79"/>
      <c r="E11"/>
      <c r="G11" s="126"/>
      <c r="H11" s="127">
        <f>SUM(H7:H9)</f>
        <v>446470</v>
      </c>
      <c r="L11" t="s">
        <v>98</v>
      </c>
      <c r="M11" s="1">
        <v>100</v>
      </c>
      <c r="N11" s="1">
        <v>100</v>
      </c>
    </row>
    <row r="12" spans="1:17" x14ac:dyDescent="0.3">
      <c r="B12" s="70" t="s">
        <v>7</v>
      </c>
      <c r="C12" s="69"/>
      <c r="D12" s="98">
        <f>2*2784</f>
        <v>5568</v>
      </c>
      <c r="E12"/>
      <c r="G12" s="1" t="s">
        <v>99</v>
      </c>
      <c r="H12" s="27">
        <f>H11-C28</f>
        <v>-134</v>
      </c>
      <c r="K12" s="1"/>
      <c r="L12" s="1" t="s">
        <v>100</v>
      </c>
      <c r="M12" s="1">
        <v>100</v>
      </c>
    </row>
    <row r="13" spans="1:17" x14ac:dyDescent="0.3">
      <c r="B13" s="65" t="s">
        <v>38</v>
      </c>
      <c r="C13" s="72"/>
      <c r="D13" s="86">
        <v>9000</v>
      </c>
      <c r="E13"/>
      <c r="L13" t="s">
        <v>101</v>
      </c>
      <c r="M13" s="1">
        <v>480</v>
      </c>
    </row>
    <row r="14" spans="1:17" x14ac:dyDescent="0.3">
      <c r="B14" s="70" t="s">
        <v>102</v>
      </c>
      <c r="C14" s="69"/>
      <c r="D14" s="98">
        <v>12500</v>
      </c>
      <c r="E14"/>
      <c r="G14" s="133" t="s">
        <v>58</v>
      </c>
      <c r="H14" s="124"/>
      <c r="M14" s="15">
        <f>SUM(M9:M13)</f>
        <v>910</v>
      </c>
      <c r="N14" s="15">
        <f>SUM(N9:N12)</f>
        <v>330</v>
      </c>
    </row>
    <row r="15" spans="1:17" x14ac:dyDescent="0.3">
      <c r="B15" s="65" t="s">
        <v>40</v>
      </c>
      <c r="C15" s="72"/>
      <c r="D15" s="79">
        <v>2500</v>
      </c>
      <c r="E15"/>
      <c r="G15" s="130" t="s">
        <v>103</v>
      </c>
      <c r="H15" s="125">
        <v>4000</v>
      </c>
      <c r="N15" s="30">
        <f>SUM(M14:N14)</f>
        <v>1240</v>
      </c>
    </row>
    <row r="16" spans="1:17" x14ac:dyDescent="0.3">
      <c r="B16" s="70" t="s">
        <v>41</v>
      </c>
      <c r="C16" s="69">
        <f>17000</f>
        <v>17000</v>
      </c>
      <c r="D16" s="98"/>
      <c r="E16"/>
      <c r="G16" s="130" t="s">
        <v>59</v>
      </c>
      <c r="H16" s="125">
        <v>4000</v>
      </c>
    </row>
    <row r="17" spans="2:15" x14ac:dyDescent="0.3">
      <c r="B17" s="65" t="s">
        <v>48</v>
      </c>
      <c r="C17" s="72"/>
      <c r="D17" s="104">
        <v>49247.8</v>
      </c>
      <c r="E17"/>
      <c r="G17" s="130" t="s">
        <v>60</v>
      </c>
      <c r="H17" s="125">
        <v>4000</v>
      </c>
    </row>
    <row r="18" spans="2:15" x14ac:dyDescent="0.3">
      <c r="B18" s="70" t="s">
        <v>49</v>
      </c>
      <c r="C18" s="69"/>
      <c r="D18" s="98"/>
      <c r="E18"/>
      <c r="G18" s="130" t="s">
        <v>61</v>
      </c>
      <c r="H18" s="125">
        <v>3000</v>
      </c>
    </row>
    <row r="19" spans="2:15" x14ac:dyDescent="0.3">
      <c r="B19" s="65" t="s">
        <v>50</v>
      </c>
      <c r="C19" s="72"/>
      <c r="D19" s="79"/>
      <c r="E19"/>
      <c r="G19" s="130" t="s">
        <v>62</v>
      </c>
      <c r="H19" s="125">
        <v>1950</v>
      </c>
      <c r="K19" s="1"/>
      <c r="L19" s="1"/>
    </row>
    <row r="20" spans="2:15" x14ac:dyDescent="0.3">
      <c r="B20" s="70" t="s">
        <v>51</v>
      </c>
      <c r="C20" s="69"/>
      <c r="D20" s="98">
        <v>22846.25</v>
      </c>
      <c r="E20"/>
      <c r="G20" s="131"/>
      <c r="H20" s="132">
        <f>SUM(H15:H19)</f>
        <v>16950</v>
      </c>
    </row>
    <row r="21" spans="2:15" x14ac:dyDescent="0.3">
      <c r="B21" s="65" t="s">
        <v>52</v>
      </c>
      <c r="C21" s="72"/>
      <c r="D21" s="79"/>
      <c r="E21"/>
      <c r="G21"/>
    </row>
    <row r="22" spans="2:15" x14ac:dyDescent="0.3">
      <c r="B22" s="70" t="s">
        <v>53</v>
      </c>
      <c r="C22" s="69"/>
      <c r="D22" s="98"/>
      <c r="E22"/>
    </row>
    <row r="23" spans="2:15" x14ac:dyDescent="0.3">
      <c r="B23" s="65" t="s">
        <v>31</v>
      </c>
      <c r="C23" s="72"/>
      <c r="D23" s="79"/>
      <c r="E23"/>
    </row>
    <row r="24" spans="2:15" s="1" customFormat="1" x14ac:dyDescent="0.3">
      <c r="B24" s="70" t="s">
        <v>55</v>
      </c>
      <c r="C24" s="69"/>
      <c r="D24" s="98"/>
      <c r="E24"/>
      <c r="F24" s="8"/>
      <c r="J24"/>
      <c r="K24"/>
      <c r="L24"/>
      <c r="O24"/>
    </row>
    <row r="25" spans="2:15" s="1" customFormat="1" x14ac:dyDescent="0.3">
      <c r="B25" s="64" t="s">
        <v>86</v>
      </c>
      <c r="C25" s="72"/>
      <c r="D25" s="79">
        <f>7*1050</f>
        <v>7350</v>
      </c>
      <c r="E25"/>
      <c r="F25" s="8"/>
      <c r="J25"/>
      <c r="K25"/>
      <c r="L25"/>
      <c r="O25"/>
    </row>
    <row r="26" spans="2:15" s="1" customFormat="1" x14ac:dyDescent="0.3">
      <c r="B26" s="1" t="s">
        <v>104</v>
      </c>
      <c r="C26" s="1">
        <v>19604</v>
      </c>
      <c r="E26"/>
      <c r="F26" s="8"/>
      <c r="J26"/>
      <c r="K26"/>
      <c r="L26"/>
      <c r="O26"/>
    </row>
    <row r="27" spans="2:15" s="1" customFormat="1" x14ac:dyDescent="0.3">
      <c r="B27" s="1" t="s">
        <v>105</v>
      </c>
      <c r="C27" s="1">
        <v>280000</v>
      </c>
      <c r="D27" s="1">
        <v>85000</v>
      </c>
      <c r="E27"/>
      <c r="F27" s="22"/>
      <c r="J27"/>
      <c r="K27"/>
      <c r="L27"/>
      <c r="O27"/>
    </row>
    <row r="28" spans="2:15" x14ac:dyDescent="0.3">
      <c r="C28" s="15">
        <f>SUM(C7:C27)</f>
        <v>446604</v>
      </c>
      <c r="D28" s="15">
        <f>SUM(D7:D27)</f>
        <v>294012.05</v>
      </c>
      <c r="E28"/>
    </row>
    <row r="29" spans="2:15" x14ac:dyDescent="0.3">
      <c r="E29"/>
    </row>
    <row r="30" spans="2:15" x14ac:dyDescent="0.3">
      <c r="C30" s="1">
        <f>C27-365000</f>
        <v>-85000</v>
      </c>
      <c r="E30"/>
    </row>
    <row r="33" spans="2:12" s="1" customFormat="1" x14ac:dyDescent="0.3">
      <c r="B33"/>
      <c r="F33" s="8"/>
      <c r="J33"/>
      <c r="K33"/>
      <c r="L33"/>
    </row>
    <row r="35" spans="2:12" s="1" customFormat="1" x14ac:dyDescent="0.3">
      <c r="B35"/>
      <c r="F35" s="8"/>
      <c r="J35"/>
      <c r="K35"/>
      <c r="L35"/>
    </row>
    <row r="36" spans="2:12" s="1" customFormat="1" x14ac:dyDescent="0.3">
      <c r="B36"/>
      <c r="F36" s="8"/>
      <c r="J36"/>
      <c r="K36"/>
      <c r="L36"/>
    </row>
  </sheetData>
  <mergeCells count="1">
    <mergeCell ref="P1:Q1"/>
  </mergeCells>
  <conditionalFormatting sqref="Q6">
    <cfRule type="cellIs" dxfId="49" priority="1" operator="lessThan">
      <formula>0</formula>
    </cfRule>
  </conditionalFormatting>
  <conditionalFormatting sqref="Q6">
    <cfRule type="cellIs" dxfId="48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C7FD-6EC0-4C6D-8DF6-D6E09F1937E3}">
  <dimension ref="A1:O38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0" max="10" width="22.21875" customWidth="1"/>
    <col min="12" max="12" width="14.6640625" bestFit="1" customWidth="1"/>
    <col min="13" max="14" width="11.5546875" style="1"/>
    <col min="18" max="18" width="22.21875" customWidth="1"/>
  </cols>
  <sheetData>
    <row r="1" spans="1:14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 s="269" t="s">
        <v>445</v>
      </c>
      <c r="K1" s="269"/>
      <c r="M1"/>
      <c r="N1"/>
    </row>
    <row r="2" spans="1:14" ht="15" customHeight="1" x14ac:dyDescent="0.3">
      <c r="A2" s="57"/>
      <c r="B2" s="57"/>
      <c r="C2" s="57"/>
      <c r="D2" s="57"/>
      <c r="E2" s="57"/>
      <c r="F2" s="57"/>
      <c r="G2"/>
      <c r="H2"/>
      <c r="I2"/>
      <c r="J2" s="85" t="s">
        <v>425</v>
      </c>
      <c r="K2" s="270">
        <f>C30</f>
        <v>392382.67000000004</v>
      </c>
      <c r="M2"/>
      <c r="N2"/>
    </row>
    <row r="3" spans="1:14" ht="15" customHeight="1" x14ac:dyDescent="0.3">
      <c r="A3" s="57"/>
      <c r="B3" s="57"/>
      <c r="C3" s="57"/>
      <c r="D3" s="57"/>
      <c r="E3" s="57"/>
      <c r="F3" s="57"/>
      <c r="G3"/>
      <c r="H3"/>
      <c r="I3"/>
      <c r="J3" s="85" t="s">
        <v>269</v>
      </c>
      <c r="K3" s="270">
        <f>D30</f>
        <v>159012.04999999999</v>
      </c>
      <c r="M3"/>
      <c r="N3"/>
    </row>
    <row r="4" spans="1:14" ht="15" customHeight="1" x14ac:dyDescent="0.3">
      <c r="A4" s="57"/>
      <c r="B4" s="57"/>
      <c r="C4" s="57"/>
      <c r="D4" s="57"/>
      <c r="E4" s="57"/>
      <c r="F4" s="57"/>
      <c r="G4"/>
      <c r="H4"/>
      <c r="I4"/>
      <c r="J4" s="85" t="s">
        <v>423</v>
      </c>
      <c r="K4" s="270">
        <f>H11</f>
        <v>381000</v>
      </c>
      <c r="M4"/>
      <c r="N4"/>
    </row>
    <row r="5" spans="1:14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 s="85" t="s">
        <v>424</v>
      </c>
      <c r="K5" s="270">
        <f>H20</f>
        <v>12950</v>
      </c>
      <c r="M5"/>
      <c r="N5"/>
    </row>
    <row r="6" spans="1:14" ht="17.399999999999999" x14ac:dyDescent="0.35">
      <c r="B6" s="68" t="s">
        <v>106</v>
      </c>
      <c r="C6" s="82" t="s">
        <v>90</v>
      </c>
      <c r="D6" s="103" t="s">
        <v>91</v>
      </c>
      <c r="E6"/>
      <c r="G6" s="122" t="s">
        <v>92</v>
      </c>
      <c r="H6" s="124"/>
      <c r="J6" s="271" t="s">
        <v>444</v>
      </c>
      <c r="K6" s="272">
        <f>K4-K5-K2</f>
        <v>-24332.670000000042</v>
      </c>
    </row>
    <row r="7" spans="1:14" x14ac:dyDescent="0.3">
      <c r="B7" s="65" t="s">
        <v>30</v>
      </c>
      <c r="C7" s="66">
        <v>125038</v>
      </c>
      <c r="D7" s="86"/>
      <c r="E7"/>
      <c r="G7" s="123" t="s">
        <v>31</v>
      </c>
      <c r="H7" s="125"/>
    </row>
    <row r="8" spans="1:14" x14ac:dyDescent="0.3">
      <c r="B8" s="70" t="s">
        <v>2</v>
      </c>
      <c r="C8" s="69"/>
      <c r="D8" s="98">
        <v>50000</v>
      </c>
      <c r="E8"/>
      <c r="G8" s="123" t="s">
        <v>93</v>
      </c>
      <c r="H8" s="125">
        <v>183000</v>
      </c>
    </row>
    <row r="9" spans="1:14" x14ac:dyDescent="0.3">
      <c r="B9" s="65" t="s">
        <v>73</v>
      </c>
      <c r="C9" s="72"/>
      <c r="D9" s="79"/>
      <c r="E9"/>
      <c r="G9" s="123" t="s">
        <v>93</v>
      </c>
      <c r="H9" s="125">
        <v>198000</v>
      </c>
    </row>
    <row r="10" spans="1:14" x14ac:dyDescent="0.3">
      <c r="B10" s="70" t="s">
        <v>35</v>
      </c>
      <c r="C10" s="69">
        <v>50000</v>
      </c>
      <c r="D10" s="98"/>
      <c r="E10"/>
      <c r="G10" s="123"/>
      <c r="H10" s="125"/>
    </row>
    <row r="11" spans="1:14" x14ac:dyDescent="0.3">
      <c r="B11" s="65" t="s">
        <v>37</v>
      </c>
      <c r="C11" s="72">
        <v>10000</v>
      </c>
      <c r="D11" s="79"/>
      <c r="E11"/>
      <c r="G11" s="126"/>
      <c r="H11" s="127">
        <f>SUM(H7:H9)</f>
        <v>381000</v>
      </c>
    </row>
    <row r="12" spans="1:14" x14ac:dyDescent="0.3">
      <c r="B12" s="70" t="s">
        <v>7</v>
      </c>
      <c r="C12" s="69"/>
      <c r="D12" s="98">
        <f>2*2784</f>
        <v>5568</v>
      </c>
      <c r="E12"/>
      <c r="G12" s="1" t="s">
        <v>99</v>
      </c>
      <c r="H12" s="27">
        <f>H11-C30</f>
        <v>-11382.670000000042</v>
      </c>
      <c r="K12" s="1"/>
    </row>
    <row r="13" spans="1:14" x14ac:dyDescent="0.3">
      <c r="B13" s="65" t="s">
        <v>38</v>
      </c>
      <c r="C13" s="64"/>
      <c r="D13" s="86">
        <v>9000</v>
      </c>
      <c r="E13"/>
    </row>
    <row r="14" spans="1:14" x14ac:dyDescent="0.3">
      <c r="B14" s="70" t="s">
        <v>102</v>
      </c>
      <c r="C14" s="69"/>
      <c r="D14" s="98">
        <v>12500</v>
      </c>
      <c r="E14"/>
      <c r="G14" s="133" t="s">
        <v>58</v>
      </c>
      <c r="H14" s="124"/>
    </row>
    <row r="15" spans="1:14" x14ac:dyDescent="0.3">
      <c r="B15" s="65" t="s">
        <v>40</v>
      </c>
      <c r="C15" s="72"/>
      <c r="D15" s="79">
        <v>2500</v>
      </c>
      <c r="E15"/>
      <c r="G15" s="130" t="s">
        <v>103</v>
      </c>
      <c r="H15" s="125"/>
    </row>
    <row r="16" spans="1:14" x14ac:dyDescent="0.3">
      <c r="B16" s="70" t="s">
        <v>41</v>
      </c>
      <c r="C16" s="69">
        <v>13000</v>
      </c>
      <c r="D16" s="98"/>
      <c r="E16"/>
      <c r="G16" s="130" t="s">
        <v>59</v>
      </c>
      <c r="H16" s="125">
        <v>4000</v>
      </c>
    </row>
    <row r="17" spans="2:15" x14ac:dyDescent="0.3">
      <c r="B17" s="65" t="s">
        <v>48</v>
      </c>
      <c r="C17" s="72"/>
      <c r="D17" s="104">
        <v>49247.8</v>
      </c>
      <c r="E17"/>
      <c r="G17" s="130" t="s">
        <v>60</v>
      </c>
      <c r="H17" s="125">
        <v>4000</v>
      </c>
    </row>
    <row r="18" spans="2:15" x14ac:dyDescent="0.3">
      <c r="B18" s="70" t="s">
        <v>49</v>
      </c>
      <c r="C18" s="69"/>
      <c r="D18" s="98"/>
      <c r="E18"/>
      <c r="G18" s="130" t="s">
        <v>61</v>
      </c>
      <c r="H18" s="125">
        <v>3000</v>
      </c>
    </row>
    <row r="19" spans="2:15" x14ac:dyDescent="0.3">
      <c r="B19" s="65" t="s">
        <v>50</v>
      </c>
      <c r="C19" s="72"/>
      <c r="D19" s="79"/>
      <c r="E19"/>
      <c r="G19" s="130" t="s">
        <v>62</v>
      </c>
      <c r="H19" s="125">
        <v>1950</v>
      </c>
      <c r="K19" s="1"/>
    </row>
    <row r="20" spans="2:15" x14ac:dyDescent="0.3">
      <c r="B20" s="70" t="s">
        <v>51</v>
      </c>
      <c r="C20" s="69"/>
      <c r="D20" s="98">
        <v>22846.25</v>
      </c>
      <c r="E20"/>
      <c r="G20" s="131"/>
      <c r="H20" s="132">
        <f>SUM(H15:H19)</f>
        <v>12950</v>
      </c>
    </row>
    <row r="21" spans="2:15" x14ac:dyDescent="0.3">
      <c r="B21" s="65" t="s">
        <v>52</v>
      </c>
      <c r="C21" s="72"/>
      <c r="D21" s="79"/>
      <c r="E21"/>
      <c r="G21"/>
    </row>
    <row r="22" spans="2:15" x14ac:dyDescent="0.3">
      <c r="B22" s="70" t="s">
        <v>53</v>
      </c>
      <c r="C22" s="69">
        <v>12000</v>
      </c>
      <c r="D22" s="98"/>
      <c r="E22"/>
    </row>
    <row r="23" spans="2:15" x14ac:dyDescent="0.3">
      <c r="B23" s="65" t="s">
        <v>107</v>
      </c>
      <c r="C23" s="66">
        <f>9219.5*1.04</f>
        <v>9588.2800000000007</v>
      </c>
      <c r="D23" s="79"/>
      <c r="E23"/>
    </row>
    <row r="24" spans="2:15" s="1" customFormat="1" x14ac:dyDescent="0.3">
      <c r="B24" s="70" t="s">
        <v>55</v>
      </c>
      <c r="C24" s="69">
        <v>28500</v>
      </c>
      <c r="D24" s="98"/>
      <c r="E24"/>
      <c r="F24" s="8"/>
      <c r="J24"/>
      <c r="K24"/>
      <c r="L24"/>
      <c r="O24"/>
    </row>
    <row r="25" spans="2:15" s="1" customFormat="1" x14ac:dyDescent="0.3">
      <c r="B25" s="65" t="s">
        <v>55</v>
      </c>
      <c r="C25" s="66">
        <v>10200</v>
      </c>
      <c r="D25" s="79"/>
      <c r="E25"/>
      <c r="F25" s="8"/>
      <c r="J25"/>
      <c r="K25"/>
      <c r="L25"/>
      <c r="O25"/>
    </row>
    <row r="26" spans="2:15" s="1" customFormat="1" x14ac:dyDescent="0.3">
      <c r="B26" s="1" t="s">
        <v>86</v>
      </c>
      <c r="C26" s="8">
        <v>8000</v>
      </c>
      <c r="D26" s="1">
        <f>7*1050</f>
        <v>7350</v>
      </c>
      <c r="E26"/>
      <c r="F26" s="8"/>
      <c r="J26"/>
      <c r="K26"/>
      <c r="L26"/>
      <c r="O26"/>
    </row>
    <row r="27" spans="2:15" s="1" customFormat="1" x14ac:dyDescent="0.3">
      <c r="B27" s="1" t="s">
        <v>104</v>
      </c>
      <c r="C27" s="16">
        <f>19604*2</f>
        <v>39208</v>
      </c>
      <c r="E27"/>
      <c r="F27" s="8"/>
      <c r="J27"/>
      <c r="K27"/>
      <c r="L27"/>
      <c r="O27"/>
    </row>
    <row r="28" spans="2:15" s="1" customFormat="1" x14ac:dyDescent="0.3">
      <c r="B28" s="1" t="s">
        <v>108</v>
      </c>
      <c r="C28" s="16">
        <f>2507.91+1140.48</f>
        <v>3648.39</v>
      </c>
      <c r="E28"/>
      <c r="F28" s="8"/>
      <c r="J28"/>
      <c r="K28"/>
      <c r="L28"/>
      <c r="O28"/>
    </row>
    <row r="29" spans="2:15" s="1" customFormat="1" x14ac:dyDescent="0.3">
      <c r="B29" s="1" t="s">
        <v>109</v>
      </c>
      <c r="C29" s="16">
        <f>80000*1.04</f>
        <v>83200</v>
      </c>
      <c r="E29"/>
      <c r="F29" s="22"/>
      <c r="J29"/>
      <c r="K29"/>
      <c r="L29"/>
      <c r="O29"/>
    </row>
    <row r="30" spans="2:15" x14ac:dyDescent="0.3">
      <c r="C30" s="15">
        <f>SUM(C7:C29)</f>
        <v>392382.67000000004</v>
      </c>
      <c r="D30" s="15">
        <f>SUM(D7:D29)</f>
        <v>159012.04999999999</v>
      </c>
      <c r="E30"/>
    </row>
    <row r="35" spans="2:12" s="1" customFormat="1" x14ac:dyDescent="0.3">
      <c r="B35"/>
      <c r="F35" s="8"/>
      <c r="J35"/>
      <c r="K35"/>
      <c r="L35"/>
    </row>
    <row r="37" spans="2:12" s="1" customFormat="1" x14ac:dyDescent="0.3">
      <c r="B37"/>
      <c r="F37" s="8"/>
      <c r="J37"/>
      <c r="K37"/>
      <c r="L37"/>
    </row>
    <row r="38" spans="2:12" s="1" customFormat="1" x14ac:dyDescent="0.3">
      <c r="B38"/>
      <c r="F38" s="8"/>
      <c r="J38"/>
      <c r="K38"/>
      <c r="L38"/>
    </row>
  </sheetData>
  <mergeCells count="1">
    <mergeCell ref="J1:K1"/>
  </mergeCells>
  <conditionalFormatting sqref="K6">
    <cfRule type="cellIs" dxfId="47" priority="1" operator="lessThan">
      <formula>0</formula>
    </cfRule>
  </conditionalFormatting>
  <conditionalFormatting sqref="K6">
    <cfRule type="cellIs" dxfId="4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E3BF-A8E5-4875-BF73-B99E80BA4C25}">
  <dimension ref="A1:O50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554687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1" max="11" width="11.5546875" style="1"/>
    <col min="12" max="12" width="14.6640625" bestFit="1" customWidth="1"/>
    <col min="13" max="13" width="22.21875" style="1" customWidth="1"/>
    <col min="14" max="14" width="11.5546875" style="1"/>
    <col min="18" max="18" width="22.21875" customWidth="1"/>
  </cols>
  <sheetData>
    <row r="1" spans="1:14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 s="269" t="s">
        <v>445</v>
      </c>
      <c r="N1" s="269"/>
    </row>
    <row r="2" spans="1:14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 s="85" t="s">
        <v>425</v>
      </c>
      <c r="N2" s="270">
        <f>C40</f>
        <v>594544.75</v>
      </c>
    </row>
    <row r="3" spans="1:14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 s="85" t="s">
        <v>269</v>
      </c>
      <c r="N3" s="270">
        <f>D40</f>
        <v>119136.08</v>
      </c>
    </row>
    <row r="4" spans="1:14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 s="85" t="s">
        <v>423</v>
      </c>
      <c r="N4" s="270">
        <f>H11</f>
        <v>595026.80000000005</v>
      </c>
    </row>
    <row r="5" spans="1:14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 s="85" t="s">
        <v>424</v>
      </c>
      <c r="N5" s="270">
        <v>0</v>
      </c>
    </row>
    <row r="6" spans="1:14" ht="17.399999999999999" x14ac:dyDescent="0.35">
      <c r="B6" s="68" t="s">
        <v>106</v>
      </c>
      <c r="C6" s="82" t="s">
        <v>90</v>
      </c>
      <c r="D6" s="103" t="s">
        <v>91</v>
      </c>
      <c r="E6"/>
      <c r="G6" s="122" t="s">
        <v>92</v>
      </c>
      <c r="H6" s="124"/>
      <c r="M6" s="274" t="s">
        <v>444</v>
      </c>
      <c r="N6" s="275">
        <f>N4-N5-N2</f>
        <v>482.05000000004657</v>
      </c>
    </row>
    <row r="7" spans="1:14" x14ac:dyDescent="0.3">
      <c r="B7" s="65" t="s">
        <v>30</v>
      </c>
      <c r="C7" s="66">
        <v>104223</v>
      </c>
      <c r="D7" s="86"/>
      <c r="E7"/>
      <c r="G7" s="123" t="s">
        <v>31</v>
      </c>
      <c r="H7" s="125">
        <v>1000</v>
      </c>
      <c r="K7" s="1">
        <v>337000</v>
      </c>
    </row>
    <row r="8" spans="1:14" x14ac:dyDescent="0.3">
      <c r="B8" s="70" t="s">
        <v>30</v>
      </c>
      <c r="C8" s="69">
        <v>20000</v>
      </c>
      <c r="D8" s="98"/>
      <c r="E8"/>
      <c r="G8" s="123" t="s">
        <v>110</v>
      </c>
      <c r="H8" s="125">
        <v>400000</v>
      </c>
    </row>
    <row r="9" spans="1:14" x14ac:dyDescent="0.3">
      <c r="B9" s="65" t="s">
        <v>2</v>
      </c>
      <c r="C9" s="72"/>
      <c r="D9" s="79"/>
      <c r="E9"/>
      <c r="G9" s="123" t="s">
        <v>111</v>
      </c>
      <c r="H9" s="125">
        <v>194026.8</v>
      </c>
    </row>
    <row r="10" spans="1:14" x14ac:dyDescent="0.3">
      <c r="B10" s="70" t="s">
        <v>73</v>
      </c>
      <c r="C10" s="69"/>
      <c r="D10" s="98"/>
      <c r="E10"/>
      <c r="G10" s="216" t="s">
        <v>429</v>
      </c>
      <c r="H10" s="211"/>
    </row>
    <row r="11" spans="1:14" x14ac:dyDescent="0.3">
      <c r="B11" s="83" t="s">
        <v>35</v>
      </c>
      <c r="C11" s="66">
        <v>60000</v>
      </c>
      <c r="D11" s="79"/>
      <c r="E11"/>
      <c r="G11" s="212"/>
      <c r="H11" s="213">
        <f>SUM(H7:H9)</f>
        <v>595026.80000000005</v>
      </c>
    </row>
    <row r="12" spans="1:14" x14ac:dyDescent="0.3">
      <c r="B12" s="70" t="s">
        <v>37</v>
      </c>
      <c r="C12" s="69"/>
      <c r="D12" s="98">
        <v>15000</v>
      </c>
      <c r="E12"/>
      <c r="G12" s="208" t="s">
        <v>99</v>
      </c>
      <c r="H12" s="214">
        <f>H11-C40</f>
        <v>482.05000000004657</v>
      </c>
    </row>
    <row r="13" spans="1:14" x14ac:dyDescent="0.3">
      <c r="B13" s="65" t="s">
        <v>7</v>
      </c>
      <c r="C13" s="66">
        <f>2*2784</f>
        <v>5568</v>
      </c>
      <c r="D13" s="79"/>
      <c r="E13"/>
      <c r="G13" s="209"/>
      <c r="H13" s="215">
        <f>H12-D40</f>
        <v>-118654.02999999996</v>
      </c>
    </row>
    <row r="14" spans="1:14" x14ac:dyDescent="0.3">
      <c r="B14" s="70" t="s">
        <v>38</v>
      </c>
      <c r="C14" s="69"/>
      <c r="D14" s="98"/>
      <c r="E14"/>
      <c r="G14" s="218" t="s">
        <v>429</v>
      </c>
    </row>
    <row r="15" spans="1:14" x14ac:dyDescent="0.3">
      <c r="B15" s="65" t="s">
        <v>102</v>
      </c>
      <c r="C15" s="72"/>
      <c r="D15" s="79"/>
      <c r="E15"/>
      <c r="G15" s="203" t="s">
        <v>103</v>
      </c>
      <c r="H15" s="204">
        <v>4000</v>
      </c>
    </row>
    <row r="16" spans="1:14" x14ac:dyDescent="0.3">
      <c r="B16" s="70" t="s">
        <v>40</v>
      </c>
      <c r="C16" s="69"/>
      <c r="D16" s="98">
        <v>2500</v>
      </c>
      <c r="E16"/>
      <c r="G16" s="192" t="s">
        <v>59</v>
      </c>
      <c r="H16" s="196">
        <v>4000</v>
      </c>
    </row>
    <row r="17" spans="2:15" x14ac:dyDescent="0.3">
      <c r="B17" s="65" t="s">
        <v>41</v>
      </c>
      <c r="C17" s="66">
        <v>20852.5</v>
      </c>
      <c r="D17" s="86"/>
      <c r="E17"/>
      <c r="G17" s="192" t="s">
        <v>60</v>
      </c>
      <c r="H17" s="196">
        <v>4000</v>
      </c>
    </row>
    <row r="18" spans="2:15" x14ac:dyDescent="0.3">
      <c r="B18" s="70" t="s">
        <v>48</v>
      </c>
      <c r="C18" s="69"/>
      <c r="D18" s="98">
        <v>49247.8</v>
      </c>
      <c r="E18"/>
      <c r="G18" s="192" t="s">
        <v>61</v>
      </c>
      <c r="H18" s="196">
        <v>3000</v>
      </c>
    </row>
    <row r="19" spans="2:15" x14ac:dyDescent="0.3">
      <c r="B19" s="65" t="s">
        <v>49</v>
      </c>
      <c r="C19" s="72"/>
      <c r="D19" s="86"/>
      <c r="E19"/>
      <c r="G19" s="195" t="s">
        <v>62</v>
      </c>
      <c r="H19" s="197">
        <v>1950</v>
      </c>
    </row>
    <row r="20" spans="2:15" x14ac:dyDescent="0.3">
      <c r="B20" s="70" t="s">
        <v>50</v>
      </c>
      <c r="C20" s="69"/>
      <c r="D20" s="98"/>
      <c r="E20"/>
    </row>
    <row r="21" spans="2:15" x14ac:dyDescent="0.3">
      <c r="B21" s="65" t="s">
        <v>51</v>
      </c>
      <c r="C21" s="66">
        <v>22846.25</v>
      </c>
      <c r="D21" s="79"/>
      <c r="E21"/>
      <c r="G21"/>
    </row>
    <row r="22" spans="2:15" x14ac:dyDescent="0.3">
      <c r="B22" s="70" t="s">
        <v>52</v>
      </c>
      <c r="C22" s="69">
        <v>8120</v>
      </c>
      <c r="D22" s="98"/>
      <c r="E22"/>
      <c r="G22"/>
      <c r="H22" s="3">
        <f>SUM(H15:H21)</f>
        <v>16950</v>
      </c>
    </row>
    <row r="23" spans="2:15" x14ac:dyDescent="0.3">
      <c r="B23" s="65" t="s">
        <v>53</v>
      </c>
      <c r="C23" s="64"/>
      <c r="D23" s="79">
        <v>12000</v>
      </c>
      <c r="E23"/>
    </row>
    <row r="24" spans="2:15" x14ac:dyDescent="0.3">
      <c r="B24" s="70" t="s">
        <v>107</v>
      </c>
      <c r="C24" s="69"/>
      <c r="D24" s="98">
        <v>9588.2800000000007</v>
      </c>
      <c r="E24"/>
      <c r="G24" s="218" t="s">
        <v>429</v>
      </c>
    </row>
    <row r="25" spans="2:15" s="1" customFormat="1" x14ac:dyDescent="0.3">
      <c r="B25" s="65" t="s">
        <v>55</v>
      </c>
      <c r="C25" s="64"/>
      <c r="D25" s="79">
        <v>22800</v>
      </c>
      <c r="E25"/>
      <c r="F25" s="8"/>
      <c r="G25" s="186" t="s">
        <v>28</v>
      </c>
      <c r="H25" s="204">
        <v>115000</v>
      </c>
      <c r="J25"/>
      <c r="L25"/>
      <c r="O25"/>
    </row>
    <row r="26" spans="2:15" s="1" customFormat="1" x14ac:dyDescent="0.3">
      <c r="B26" s="70" t="s">
        <v>55</v>
      </c>
      <c r="C26" s="69">
        <v>28500</v>
      </c>
      <c r="D26" s="98"/>
      <c r="E26"/>
      <c r="F26" s="8"/>
      <c r="G26" s="208" t="s">
        <v>18</v>
      </c>
      <c r="H26" s="196">
        <f>H22</f>
        <v>16950</v>
      </c>
      <c r="J26"/>
      <c r="L26"/>
      <c r="O26"/>
    </row>
    <row r="27" spans="2:15" s="1" customFormat="1" x14ac:dyDescent="0.3">
      <c r="B27" s="64" t="s">
        <v>86</v>
      </c>
      <c r="C27" s="64"/>
      <c r="D27" s="79">
        <v>8000</v>
      </c>
      <c r="E27"/>
      <c r="F27" s="8"/>
      <c r="G27" s="209"/>
      <c r="H27" s="205">
        <f>SUM(H25:H26)</f>
        <v>131950</v>
      </c>
      <c r="J27"/>
      <c r="L27"/>
      <c r="O27"/>
    </row>
    <row r="28" spans="2:15" s="1" customFormat="1" x14ac:dyDescent="0.3">
      <c r="B28" s="69" t="s">
        <v>104</v>
      </c>
      <c r="C28" s="69"/>
      <c r="D28" s="98"/>
      <c r="E28"/>
      <c r="F28" s="8"/>
      <c r="J28"/>
      <c r="L28"/>
      <c r="O28"/>
    </row>
    <row r="29" spans="2:15" s="1" customFormat="1" x14ac:dyDescent="0.3">
      <c r="B29" s="64" t="s">
        <v>108</v>
      </c>
      <c r="C29" s="64"/>
      <c r="D29" s="79"/>
      <c r="E29"/>
      <c r="F29" s="8"/>
      <c r="G29" s="1" t="s">
        <v>31</v>
      </c>
      <c r="H29" s="1">
        <v>95000</v>
      </c>
      <c r="J29"/>
      <c r="L29"/>
      <c r="O29"/>
    </row>
    <row r="30" spans="2:15" s="1" customFormat="1" x14ac:dyDescent="0.3">
      <c r="B30" s="69" t="s">
        <v>112</v>
      </c>
      <c r="C30" s="69">
        <f>138229+122206</f>
        <v>260435</v>
      </c>
      <c r="D30" s="98"/>
      <c r="E30"/>
      <c r="F30" s="22"/>
      <c r="G30" s="1" t="s">
        <v>31</v>
      </c>
      <c r="H30" s="1">
        <v>20000</v>
      </c>
      <c r="J30"/>
      <c r="L30"/>
      <c r="O30"/>
    </row>
    <row r="31" spans="2:15" s="1" customFormat="1" x14ac:dyDescent="0.3">
      <c r="B31" s="64" t="s">
        <v>113</v>
      </c>
      <c r="C31" s="66">
        <v>12000</v>
      </c>
      <c r="D31" s="79"/>
      <c r="E31"/>
      <c r="F31" s="22"/>
      <c r="H31" s="3">
        <f>SUM(H29:H30)</f>
        <v>115000</v>
      </c>
      <c r="J31"/>
      <c r="L31"/>
      <c r="O31"/>
    </row>
    <row r="32" spans="2:15" s="1" customFormat="1" x14ac:dyDescent="0.3">
      <c r="B32" s="69" t="s">
        <v>114</v>
      </c>
      <c r="C32" s="69">
        <v>50000</v>
      </c>
      <c r="D32" s="98"/>
      <c r="E32"/>
      <c r="F32" s="22"/>
      <c r="H32" s="33">
        <f>H27-H31</f>
        <v>16950</v>
      </c>
      <c r="J32"/>
      <c r="L32"/>
      <c r="O32"/>
    </row>
    <row r="33" spans="2:15" s="1" customFormat="1" x14ac:dyDescent="0.3">
      <c r="B33" s="84" t="s">
        <v>115</v>
      </c>
      <c r="C33" s="72"/>
      <c r="D33" s="79"/>
      <c r="E33"/>
      <c r="F33" s="22"/>
      <c r="J33"/>
      <c r="L33"/>
      <c r="O33"/>
    </row>
    <row r="34" spans="2:15" s="1" customFormat="1" x14ac:dyDescent="0.3">
      <c r="B34" s="69" t="s">
        <v>116</v>
      </c>
      <c r="C34" s="69">
        <v>2000</v>
      </c>
      <c r="D34" s="98"/>
      <c r="E34"/>
      <c r="F34" s="22"/>
      <c r="J34"/>
      <c r="L34"/>
      <c r="O34"/>
    </row>
    <row r="35" spans="2:15" s="1" customFormat="1" x14ac:dyDescent="0.3">
      <c r="B35" s="64" t="s">
        <v>117</v>
      </c>
      <c r="C35" s="72"/>
      <c r="D35" s="79"/>
      <c r="E35"/>
      <c r="F35" s="22"/>
      <c r="J35"/>
      <c r="L35"/>
      <c r="O35"/>
    </row>
    <row r="36" spans="2:15" s="1" customFormat="1" x14ac:dyDescent="0.3">
      <c r="B36" s="69" t="s">
        <v>11</v>
      </c>
      <c r="C36" s="69"/>
      <c r="D36" s="98"/>
      <c r="E36"/>
      <c r="F36" s="22"/>
      <c r="J36"/>
      <c r="L36"/>
      <c r="O36"/>
    </row>
    <row r="37" spans="2:15" s="1" customFormat="1" x14ac:dyDescent="0.3">
      <c r="B37" s="64" t="s">
        <v>118</v>
      </c>
      <c r="C37" s="72"/>
      <c r="D37" s="79"/>
      <c r="E37"/>
      <c r="F37" s="22"/>
      <c r="H37" s="1">
        <f>220000*1.04</f>
        <v>228800</v>
      </c>
      <c r="J37"/>
      <c r="L37"/>
      <c r="O37"/>
    </row>
    <row r="38" spans="2:15" s="1" customFormat="1" x14ac:dyDescent="0.3">
      <c r="B38" s="69"/>
      <c r="C38" s="69"/>
      <c r="D38" s="98"/>
      <c r="E38"/>
      <c r="F38" s="22"/>
      <c r="J38"/>
      <c r="L38"/>
      <c r="O38"/>
    </row>
    <row r="39" spans="2:15" s="1" customFormat="1" x14ac:dyDescent="0.3">
      <c r="B39" s="64"/>
      <c r="C39" s="64"/>
      <c r="D39" s="79"/>
      <c r="E39"/>
      <c r="F39" s="22"/>
      <c r="J39"/>
      <c r="L39"/>
      <c r="O39"/>
    </row>
    <row r="40" spans="2:15" x14ac:dyDescent="0.3">
      <c r="B40" s="70"/>
      <c r="C40" s="71">
        <f>SUM(C7:C39)</f>
        <v>594544.75</v>
      </c>
      <c r="D40" s="101">
        <f>SUM(D7:D39)</f>
        <v>119136.08</v>
      </c>
      <c r="E40"/>
    </row>
    <row r="41" spans="2:15" x14ac:dyDescent="0.3">
      <c r="B41" s="65"/>
      <c r="C41" s="64"/>
      <c r="D41" s="79"/>
      <c r="E41"/>
    </row>
    <row r="42" spans="2:15" x14ac:dyDescent="0.3">
      <c r="B42" s="198" t="s">
        <v>429</v>
      </c>
      <c r="C42" s="176"/>
      <c r="D42" s="98"/>
      <c r="E42"/>
    </row>
    <row r="43" spans="2:15" x14ac:dyDescent="0.3">
      <c r="B43" s="85" t="s">
        <v>110</v>
      </c>
      <c r="C43" s="64"/>
      <c r="D43" s="180"/>
      <c r="E43"/>
    </row>
    <row r="44" spans="2:15" x14ac:dyDescent="0.3">
      <c r="B44" s="70" t="s">
        <v>119</v>
      </c>
      <c r="C44" s="69">
        <v>780</v>
      </c>
      <c r="D44" s="179"/>
      <c r="E44"/>
    </row>
    <row r="45" spans="2:15" s="1" customFormat="1" x14ac:dyDescent="0.3">
      <c r="B45" s="65" t="s">
        <v>120</v>
      </c>
      <c r="C45" s="64">
        <v>800</v>
      </c>
      <c r="D45" s="180"/>
      <c r="E45"/>
      <c r="F45" s="8"/>
      <c r="J45"/>
      <c r="L45"/>
    </row>
    <row r="46" spans="2:15" x14ac:dyDescent="0.3">
      <c r="B46" s="192" t="s">
        <v>121</v>
      </c>
      <c r="C46" s="196">
        <v>1500</v>
      </c>
      <c r="E46"/>
    </row>
    <row r="47" spans="2:15" s="1" customFormat="1" x14ac:dyDescent="0.3">
      <c r="B47" s="192" t="s">
        <v>122</v>
      </c>
      <c r="C47" s="196">
        <v>1000</v>
      </c>
      <c r="E47"/>
      <c r="F47" s="8"/>
      <c r="J47"/>
      <c r="L47"/>
    </row>
    <row r="48" spans="2:15" s="1" customFormat="1" x14ac:dyDescent="0.3">
      <c r="B48" s="192" t="s">
        <v>123</v>
      </c>
      <c r="C48" s="196">
        <v>700</v>
      </c>
      <c r="E48"/>
      <c r="F48" s="8"/>
      <c r="J48"/>
      <c r="L48"/>
    </row>
    <row r="49" spans="2:12" s="1" customFormat="1" x14ac:dyDescent="0.3">
      <c r="B49" s="192" t="s">
        <v>124</v>
      </c>
      <c r="C49" s="196">
        <v>600</v>
      </c>
      <c r="E49"/>
      <c r="F49" s="8"/>
      <c r="J49"/>
      <c r="L49"/>
    </row>
    <row r="50" spans="2:12" x14ac:dyDescent="0.3">
      <c r="B50" s="195"/>
      <c r="C50" s="205">
        <f>SUM(C44:C49)</f>
        <v>5380</v>
      </c>
      <c r="E50"/>
    </row>
  </sheetData>
  <mergeCells count="1">
    <mergeCell ref="M1:N1"/>
  </mergeCells>
  <conditionalFormatting sqref="N6">
    <cfRule type="cellIs" dxfId="45" priority="1" operator="lessThan">
      <formula>0</formula>
    </cfRule>
  </conditionalFormatting>
  <conditionalFormatting sqref="N6">
    <cfRule type="cellIs" dxfId="4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7957-4377-4A02-84AB-CC4B7FB94CA6}">
  <dimension ref="A1:O50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554687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8" width="14.6640625" style="1" customWidth="1"/>
    <col min="9" max="9" width="5" style="1" customWidth="1"/>
    <col min="11" max="11" width="11.5546875" style="1"/>
    <col min="12" max="12" width="14.6640625" bestFit="1" customWidth="1"/>
    <col min="13" max="13" width="22.21875" style="1" customWidth="1"/>
    <col min="14" max="14" width="11.5546875" style="1"/>
    <col min="18" max="18" width="22.21875" customWidth="1"/>
  </cols>
  <sheetData>
    <row r="1" spans="1:14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 s="269" t="s">
        <v>445</v>
      </c>
      <c r="N1" s="269"/>
    </row>
    <row r="2" spans="1:14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 s="85" t="s">
        <v>425</v>
      </c>
      <c r="N2" s="270">
        <f>C40</f>
        <v>191619.6</v>
      </c>
    </row>
    <row r="3" spans="1:14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 s="85" t="s">
        <v>269</v>
      </c>
      <c r="N3" s="270">
        <f>D40</f>
        <v>96136.08</v>
      </c>
    </row>
    <row r="4" spans="1:14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 s="85" t="s">
        <v>423</v>
      </c>
      <c r="N4" s="270">
        <f>H11</f>
        <v>198000</v>
      </c>
    </row>
    <row r="5" spans="1:14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 s="85" t="s">
        <v>424</v>
      </c>
      <c r="N5" s="270">
        <v>0</v>
      </c>
    </row>
    <row r="6" spans="1:14" ht="17.399999999999999" x14ac:dyDescent="0.35">
      <c r="B6" s="68" t="s">
        <v>106</v>
      </c>
      <c r="C6" s="82" t="s">
        <v>90</v>
      </c>
      <c r="D6" s="103" t="s">
        <v>91</v>
      </c>
      <c r="E6"/>
      <c r="G6" s="122" t="s">
        <v>92</v>
      </c>
      <c r="H6" s="124"/>
      <c r="M6" s="274" t="s">
        <v>444</v>
      </c>
      <c r="N6" s="275">
        <f>N4-N5-N2</f>
        <v>6380.3999999999942</v>
      </c>
    </row>
    <row r="7" spans="1:14" x14ac:dyDescent="0.3">
      <c r="B7" s="65" t="s">
        <v>30</v>
      </c>
      <c r="C7" s="66">
        <v>125037</v>
      </c>
      <c r="D7" s="86"/>
      <c r="E7"/>
      <c r="G7" s="123"/>
      <c r="H7" s="125"/>
      <c r="K7" s="1">
        <v>337000</v>
      </c>
    </row>
    <row r="8" spans="1:14" x14ac:dyDescent="0.3">
      <c r="B8" s="70" t="s">
        <v>30</v>
      </c>
      <c r="C8" s="69"/>
      <c r="D8" s="98"/>
      <c r="E8"/>
      <c r="G8" s="123" t="s">
        <v>93</v>
      </c>
      <c r="H8" s="125">
        <v>198000</v>
      </c>
    </row>
    <row r="9" spans="1:14" x14ac:dyDescent="0.3">
      <c r="B9" s="65" t="s">
        <v>2</v>
      </c>
      <c r="C9" s="72"/>
      <c r="D9" s="79"/>
      <c r="E9"/>
      <c r="G9" s="123"/>
      <c r="H9" s="125"/>
    </row>
    <row r="10" spans="1:14" x14ac:dyDescent="0.3">
      <c r="B10" s="70" t="s">
        <v>73</v>
      </c>
      <c r="C10" s="69"/>
      <c r="D10" s="98"/>
      <c r="E10"/>
      <c r="G10" s="216" t="s">
        <v>429</v>
      </c>
      <c r="H10" s="211"/>
    </row>
    <row r="11" spans="1:14" x14ac:dyDescent="0.3">
      <c r="B11" s="83" t="s">
        <v>35</v>
      </c>
      <c r="C11" s="72"/>
      <c r="D11" s="79"/>
      <c r="E11"/>
      <c r="G11" s="212"/>
      <c r="H11" s="213">
        <f>SUM(H7:H8)</f>
        <v>198000</v>
      </c>
    </row>
    <row r="12" spans="1:14" x14ac:dyDescent="0.3">
      <c r="B12" s="70" t="s">
        <v>37</v>
      </c>
      <c r="C12" s="69">
        <v>10000</v>
      </c>
      <c r="D12" s="98"/>
      <c r="E12"/>
      <c r="G12" s="208" t="s">
        <v>99</v>
      </c>
      <c r="H12" s="214">
        <f>H11-C40</f>
        <v>6380.3999999999942</v>
      </c>
    </row>
    <row r="13" spans="1:14" x14ac:dyDescent="0.3">
      <c r="B13" s="65" t="s">
        <v>7</v>
      </c>
      <c r="C13" s="72"/>
      <c r="D13" s="79"/>
      <c r="E13"/>
      <c r="G13" s="209"/>
      <c r="H13" s="215">
        <f>H12-D40</f>
        <v>-89755.680000000008</v>
      </c>
    </row>
    <row r="14" spans="1:14" x14ac:dyDescent="0.3">
      <c r="B14" s="70" t="s">
        <v>38</v>
      </c>
      <c r="C14" s="69"/>
      <c r="D14" s="98"/>
      <c r="E14"/>
      <c r="G14" s="218" t="s">
        <v>429</v>
      </c>
    </row>
    <row r="15" spans="1:14" x14ac:dyDescent="0.3">
      <c r="B15" s="65" t="s">
        <v>102</v>
      </c>
      <c r="C15" s="66">
        <v>7308</v>
      </c>
      <c r="D15" s="79"/>
      <c r="E15"/>
      <c r="G15" s="203" t="s">
        <v>103</v>
      </c>
      <c r="H15" s="204">
        <v>4000</v>
      </c>
    </row>
    <row r="16" spans="1:14" x14ac:dyDescent="0.3">
      <c r="B16" s="70" t="s">
        <v>40</v>
      </c>
      <c r="C16" s="69"/>
      <c r="D16" s="98">
        <v>2500</v>
      </c>
      <c r="E16"/>
      <c r="G16" s="192" t="s">
        <v>59</v>
      </c>
      <c r="H16" s="196">
        <v>4000</v>
      </c>
    </row>
    <row r="17" spans="2:15" x14ac:dyDescent="0.3">
      <c r="B17" s="65" t="s">
        <v>41</v>
      </c>
      <c r="C17" s="72"/>
      <c r="D17" s="86"/>
      <c r="E17"/>
      <c r="G17" s="192" t="s">
        <v>60</v>
      </c>
      <c r="H17" s="196">
        <v>4000</v>
      </c>
    </row>
    <row r="18" spans="2:15" x14ac:dyDescent="0.3">
      <c r="B18" s="70" t="s">
        <v>48</v>
      </c>
      <c r="C18" s="69"/>
      <c r="D18" s="98">
        <v>49247.8</v>
      </c>
      <c r="E18"/>
      <c r="G18" s="192" t="s">
        <v>61</v>
      </c>
      <c r="H18" s="196">
        <v>3000</v>
      </c>
    </row>
    <row r="19" spans="2:15" x14ac:dyDescent="0.3">
      <c r="B19" s="65" t="s">
        <v>49</v>
      </c>
      <c r="C19" s="72"/>
      <c r="D19" s="86"/>
      <c r="E19"/>
      <c r="G19" s="195" t="s">
        <v>62</v>
      </c>
      <c r="H19" s="197">
        <v>1950</v>
      </c>
    </row>
    <row r="20" spans="2:15" x14ac:dyDescent="0.3">
      <c r="B20" s="70" t="s">
        <v>50</v>
      </c>
      <c r="C20" s="69"/>
      <c r="D20" s="98"/>
      <c r="E20"/>
    </row>
    <row r="21" spans="2:15" x14ac:dyDescent="0.3">
      <c r="B21" s="65" t="s">
        <v>51</v>
      </c>
      <c r="C21" s="72"/>
      <c r="D21" s="86"/>
      <c r="E21"/>
      <c r="G21"/>
    </row>
    <row r="22" spans="2:15" x14ac:dyDescent="0.3">
      <c r="B22" s="70" t="s">
        <v>52</v>
      </c>
      <c r="C22" s="69"/>
      <c r="D22" s="98"/>
      <c r="E22"/>
      <c r="G22"/>
      <c r="H22" s="3">
        <f>SUM(H15:H21)</f>
        <v>16950</v>
      </c>
    </row>
    <row r="23" spans="2:15" x14ac:dyDescent="0.3">
      <c r="B23" s="65" t="s">
        <v>53</v>
      </c>
      <c r="C23" s="72"/>
      <c r="D23" s="79">
        <v>12000</v>
      </c>
      <c r="E23"/>
    </row>
    <row r="24" spans="2:15" x14ac:dyDescent="0.3">
      <c r="B24" s="70" t="s">
        <v>107</v>
      </c>
      <c r="C24" s="69"/>
      <c r="D24" s="98">
        <v>9588.2800000000007</v>
      </c>
      <c r="E24"/>
      <c r="G24" s="218" t="s">
        <v>429</v>
      </c>
    </row>
    <row r="25" spans="2:15" s="1" customFormat="1" x14ac:dyDescent="0.3">
      <c r="B25" s="65" t="s">
        <v>55</v>
      </c>
      <c r="C25" s="64"/>
      <c r="D25" s="79">
        <v>22800</v>
      </c>
      <c r="E25"/>
      <c r="F25" s="8"/>
      <c r="G25" s="186" t="s">
        <v>28</v>
      </c>
      <c r="H25" s="204">
        <v>115000</v>
      </c>
      <c r="J25"/>
      <c r="L25"/>
      <c r="O25"/>
    </row>
    <row r="26" spans="2:15" s="1" customFormat="1" x14ac:dyDescent="0.3">
      <c r="B26" s="70" t="s">
        <v>55</v>
      </c>
      <c r="C26" s="69"/>
      <c r="D26" s="98"/>
      <c r="E26"/>
      <c r="F26" s="8"/>
      <c r="G26" s="208" t="s">
        <v>18</v>
      </c>
      <c r="H26" s="196">
        <f>H22</f>
        <v>16950</v>
      </c>
      <c r="J26"/>
      <c r="L26"/>
      <c r="O26"/>
    </row>
    <row r="27" spans="2:15" s="1" customFormat="1" x14ac:dyDescent="0.3">
      <c r="B27" s="64" t="s">
        <v>86</v>
      </c>
      <c r="C27" s="64"/>
      <c r="D27" s="79"/>
      <c r="E27"/>
      <c r="F27" s="8"/>
      <c r="G27" s="209"/>
      <c r="H27" s="205">
        <f>SUM(H25:H26)</f>
        <v>131950</v>
      </c>
      <c r="J27"/>
      <c r="L27"/>
      <c r="O27"/>
    </row>
    <row r="28" spans="2:15" s="1" customFormat="1" x14ac:dyDescent="0.3">
      <c r="B28" s="69" t="s">
        <v>104</v>
      </c>
      <c r="C28" s="69"/>
      <c r="D28" s="98"/>
      <c r="E28"/>
      <c r="F28" s="8"/>
      <c r="J28"/>
      <c r="L28"/>
      <c r="O28"/>
    </row>
    <row r="29" spans="2:15" s="1" customFormat="1" x14ac:dyDescent="0.3">
      <c r="B29" s="64" t="s">
        <v>108</v>
      </c>
      <c r="C29" s="64"/>
      <c r="D29" s="79"/>
      <c r="E29"/>
      <c r="F29" s="8"/>
      <c r="G29" s="1" t="s">
        <v>31</v>
      </c>
      <c r="H29" s="1">
        <v>95000</v>
      </c>
      <c r="J29"/>
      <c r="L29"/>
      <c r="O29"/>
    </row>
    <row r="30" spans="2:15" s="1" customFormat="1" x14ac:dyDescent="0.3">
      <c r="B30" s="69" t="s">
        <v>112</v>
      </c>
      <c r="C30" s="69"/>
      <c r="D30" s="98"/>
      <c r="E30"/>
      <c r="F30" s="22"/>
      <c r="G30" s="1" t="s">
        <v>31</v>
      </c>
      <c r="H30" s="1">
        <v>20000</v>
      </c>
      <c r="J30"/>
      <c r="L30"/>
      <c r="O30"/>
    </row>
    <row r="31" spans="2:15" s="1" customFormat="1" x14ac:dyDescent="0.3">
      <c r="B31" s="64" t="s">
        <v>125</v>
      </c>
      <c r="C31" s="72"/>
      <c r="D31" s="79"/>
      <c r="E31"/>
      <c r="F31" s="22"/>
      <c r="H31" s="3">
        <f>SUM(H29:H30)</f>
        <v>115000</v>
      </c>
      <c r="J31"/>
      <c r="L31"/>
      <c r="O31"/>
    </row>
    <row r="32" spans="2:15" s="1" customFormat="1" x14ac:dyDescent="0.3">
      <c r="B32" s="69" t="s">
        <v>114</v>
      </c>
      <c r="C32" s="69"/>
      <c r="D32" s="98"/>
      <c r="E32"/>
      <c r="F32" s="22"/>
      <c r="H32" s="33">
        <f>H27-H31</f>
        <v>16950</v>
      </c>
      <c r="J32"/>
      <c r="L32"/>
      <c r="O32"/>
    </row>
    <row r="33" spans="2:15" s="1" customFormat="1" x14ac:dyDescent="0.3">
      <c r="B33" s="84" t="s">
        <v>115</v>
      </c>
      <c r="C33" s="66">
        <v>9280</v>
      </c>
      <c r="D33" s="79"/>
      <c r="E33"/>
      <c r="F33" s="22"/>
      <c r="J33"/>
      <c r="L33"/>
      <c r="O33"/>
    </row>
    <row r="34" spans="2:15" s="1" customFormat="1" x14ac:dyDescent="0.3">
      <c r="B34" s="69" t="s">
        <v>116</v>
      </c>
      <c r="C34" s="69"/>
      <c r="D34" s="98"/>
      <c r="E34"/>
      <c r="F34" s="22"/>
      <c r="J34"/>
      <c r="L34"/>
      <c r="O34"/>
    </row>
    <row r="35" spans="2:15" s="1" customFormat="1" x14ac:dyDescent="0.3">
      <c r="B35" s="64" t="s">
        <v>117</v>
      </c>
      <c r="C35" s="66">
        <f>(225000*0.04)+(11500*1.04)</f>
        <v>20960</v>
      </c>
      <c r="D35" s="79"/>
      <c r="E35"/>
      <c r="F35" s="22"/>
      <c r="J35"/>
      <c r="L35"/>
      <c r="O35"/>
    </row>
    <row r="36" spans="2:15" s="1" customFormat="1" x14ac:dyDescent="0.3">
      <c r="B36" s="69" t="s">
        <v>11</v>
      </c>
      <c r="C36" s="69">
        <v>10000</v>
      </c>
      <c r="D36" s="98"/>
      <c r="E36"/>
      <c r="F36" s="22"/>
      <c r="J36"/>
      <c r="L36"/>
      <c r="O36"/>
    </row>
    <row r="37" spans="2:15" s="1" customFormat="1" x14ac:dyDescent="0.3">
      <c r="B37" s="64" t="s">
        <v>118</v>
      </c>
      <c r="C37" s="66">
        <v>6020.4</v>
      </c>
      <c r="D37" s="79"/>
      <c r="E37"/>
      <c r="F37" s="22"/>
      <c r="H37" s="1">
        <f>220000*1.04</f>
        <v>228800</v>
      </c>
      <c r="J37"/>
      <c r="L37"/>
      <c r="O37"/>
    </row>
    <row r="38" spans="2:15" s="1" customFormat="1" x14ac:dyDescent="0.3">
      <c r="B38" s="69" t="s">
        <v>126</v>
      </c>
      <c r="C38" s="69">
        <v>3014.2</v>
      </c>
      <c r="D38" s="98"/>
      <c r="E38"/>
      <c r="F38" s="22"/>
      <c r="J38"/>
      <c r="L38"/>
      <c r="O38"/>
    </row>
    <row r="39" spans="2:15" s="1" customFormat="1" x14ac:dyDescent="0.3">
      <c r="B39" s="64"/>
      <c r="C39" s="64"/>
      <c r="D39" s="79"/>
      <c r="E39"/>
      <c r="F39" s="22"/>
      <c r="J39"/>
      <c r="L39"/>
      <c r="O39"/>
    </row>
    <row r="40" spans="2:15" x14ac:dyDescent="0.3">
      <c r="B40" s="70"/>
      <c r="C40" s="71">
        <f>SUM(C7:C39)</f>
        <v>191619.6</v>
      </c>
      <c r="D40" s="101">
        <f>SUM(D7:D39)</f>
        <v>96136.08</v>
      </c>
      <c r="E40"/>
    </row>
    <row r="41" spans="2:15" x14ac:dyDescent="0.3">
      <c r="B41" s="65"/>
      <c r="C41" s="64"/>
      <c r="D41" s="79"/>
      <c r="E41"/>
    </row>
    <row r="42" spans="2:15" x14ac:dyDescent="0.3">
      <c r="B42" s="198" t="s">
        <v>429</v>
      </c>
      <c r="C42" s="176"/>
      <c r="D42" s="98"/>
      <c r="E42"/>
    </row>
    <row r="43" spans="2:15" x14ac:dyDescent="0.3">
      <c r="B43" s="85" t="s">
        <v>110</v>
      </c>
      <c r="C43" s="64"/>
      <c r="D43" s="180"/>
      <c r="E43"/>
    </row>
    <row r="44" spans="2:15" x14ac:dyDescent="0.3">
      <c r="B44" s="70" t="s">
        <v>119</v>
      </c>
      <c r="C44" s="69">
        <v>780</v>
      </c>
      <c r="D44" s="179"/>
      <c r="E44"/>
    </row>
    <row r="45" spans="2:15" s="1" customFormat="1" x14ac:dyDescent="0.3">
      <c r="B45" s="65" t="s">
        <v>120</v>
      </c>
      <c r="C45" s="64">
        <v>800</v>
      </c>
      <c r="D45" s="180"/>
      <c r="E45"/>
      <c r="F45" s="8"/>
      <c r="J45"/>
      <c r="L45"/>
    </row>
    <row r="46" spans="2:15" x14ac:dyDescent="0.3">
      <c r="B46" s="192" t="s">
        <v>121</v>
      </c>
      <c r="C46" s="196">
        <v>1500</v>
      </c>
      <c r="E46"/>
    </row>
    <row r="47" spans="2:15" s="1" customFormat="1" x14ac:dyDescent="0.3">
      <c r="B47" s="192" t="s">
        <v>122</v>
      </c>
      <c r="C47" s="196">
        <v>1000</v>
      </c>
      <c r="E47"/>
      <c r="F47" s="8"/>
      <c r="J47"/>
      <c r="L47"/>
    </row>
    <row r="48" spans="2:15" s="1" customFormat="1" x14ac:dyDescent="0.3">
      <c r="B48" s="192" t="s">
        <v>123</v>
      </c>
      <c r="C48" s="196">
        <v>700</v>
      </c>
      <c r="E48"/>
      <c r="F48" s="8"/>
      <c r="J48"/>
      <c r="L48"/>
    </row>
    <row r="49" spans="2:12" s="1" customFormat="1" x14ac:dyDescent="0.3">
      <c r="B49" s="192" t="s">
        <v>124</v>
      </c>
      <c r="C49" s="196">
        <v>600</v>
      </c>
      <c r="E49"/>
      <c r="F49" s="8"/>
      <c r="J49"/>
      <c r="L49"/>
    </row>
    <row r="50" spans="2:12" x14ac:dyDescent="0.3">
      <c r="B50" s="195"/>
      <c r="C50" s="205">
        <f>SUM(C44:C49)</f>
        <v>5380</v>
      </c>
      <c r="E50"/>
    </row>
  </sheetData>
  <mergeCells count="1">
    <mergeCell ref="M1:N1"/>
  </mergeCells>
  <conditionalFormatting sqref="N6">
    <cfRule type="cellIs" dxfId="43" priority="1" operator="lessThan">
      <formula>0</formula>
    </cfRule>
  </conditionalFormatting>
  <conditionalFormatting sqref="N6">
    <cfRule type="cellIs" dxfId="4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54B1-5253-4702-8C9C-0BC139D6ABCE}">
  <dimension ref="A1:P49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14.6640625" bestFit="1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446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C39</f>
        <v>171923.65000000002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D39</f>
        <v>121136.08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221544.8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127</v>
      </c>
      <c r="C6" s="82" t="s">
        <v>90</v>
      </c>
      <c r="D6" s="103" t="s">
        <v>91</v>
      </c>
      <c r="E6"/>
      <c r="G6" s="122" t="s">
        <v>92</v>
      </c>
      <c r="H6" s="124"/>
      <c r="J6" s="3" t="s">
        <v>92</v>
      </c>
      <c r="L6" s="1"/>
      <c r="O6" s="271" t="s">
        <v>444</v>
      </c>
      <c r="P6" s="272">
        <f>P4-P5-P2</f>
        <v>49621.149999999965</v>
      </c>
    </row>
    <row r="7" spans="1:16" x14ac:dyDescent="0.3">
      <c r="B7" s="65" t="s">
        <v>30</v>
      </c>
      <c r="C7" s="66">
        <v>95000</v>
      </c>
      <c r="D7" s="86"/>
      <c r="E7"/>
      <c r="G7" s="123"/>
      <c r="H7" s="125">
        <v>53100</v>
      </c>
      <c r="K7" s="1">
        <f>9.08*90</f>
        <v>817.2</v>
      </c>
      <c r="L7" s="1">
        <v>65</v>
      </c>
      <c r="M7" s="1">
        <f>K7*L7</f>
        <v>53118</v>
      </c>
    </row>
    <row r="8" spans="1:16" x14ac:dyDescent="0.3">
      <c r="B8" s="70" t="s">
        <v>41</v>
      </c>
      <c r="C8" s="69">
        <f>H22</f>
        <v>17800</v>
      </c>
      <c r="D8" s="98"/>
      <c r="E8"/>
      <c r="G8" s="123" t="s">
        <v>128</v>
      </c>
      <c r="H8" s="125">
        <v>90000</v>
      </c>
      <c r="K8" s="1" t="s">
        <v>129</v>
      </c>
      <c r="L8" s="1"/>
      <c r="M8" s="34">
        <v>-15600</v>
      </c>
    </row>
    <row r="9" spans="1:16" x14ac:dyDescent="0.3">
      <c r="B9" s="65" t="s">
        <v>2</v>
      </c>
      <c r="C9" s="72"/>
      <c r="D9" s="79"/>
      <c r="E9"/>
      <c r="G9" s="123" t="s">
        <v>130</v>
      </c>
      <c r="H9" s="125">
        <v>78444.800000000003</v>
      </c>
      <c r="L9" s="1"/>
      <c r="M9" s="3">
        <f>SUM(M7:M8)</f>
        <v>37518</v>
      </c>
    </row>
    <row r="10" spans="1:16" x14ac:dyDescent="0.3">
      <c r="B10" s="70" t="s">
        <v>73</v>
      </c>
      <c r="C10" s="69"/>
      <c r="D10" s="98"/>
      <c r="E10"/>
      <c r="G10" s="123"/>
      <c r="H10" s="125"/>
    </row>
    <row r="11" spans="1:16" x14ac:dyDescent="0.3">
      <c r="B11" s="83" t="s">
        <v>37</v>
      </c>
      <c r="C11" s="64"/>
      <c r="D11" s="79">
        <v>15000</v>
      </c>
      <c r="E11"/>
      <c r="G11" s="126"/>
      <c r="H11" s="127">
        <f>SUM(H7:H10)</f>
        <v>221544.8</v>
      </c>
    </row>
    <row r="12" spans="1:16" x14ac:dyDescent="0.3">
      <c r="B12" s="70" t="s">
        <v>7</v>
      </c>
      <c r="C12" s="69"/>
      <c r="D12" s="98"/>
      <c r="E12"/>
      <c r="G12" s="1" t="s">
        <v>99</v>
      </c>
      <c r="H12" s="32">
        <f>H11-C39</f>
        <v>49621.149999999965</v>
      </c>
    </row>
    <row r="13" spans="1:16" x14ac:dyDescent="0.3">
      <c r="B13" s="65" t="s">
        <v>38</v>
      </c>
      <c r="C13" s="64"/>
      <c r="D13" s="79"/>
      <c r="E13"/>
    </row>
    <row r="14" spans="1:16" x14ac:dyDescent="0.3">
      <c r="B14" s="70" t="s">
        <v>102</v>
      </c>
      <c r="C14" s="69"/>
      <c r="D14" s="98"/>
      <c r="E14"/>
      <c r="G14" s="218" t="s">
        <v>429</v>
      </c>
    </row>
    <row r="15" spans="1:16" x14ac:dyDescent="0.3">
      <c r="B15" s="65" t="s">
        <v>40</v>
      </c>
      <c r="C15" s="64"/>
      <c r="D15" s="79"/>
      <c r="E15"/>
      <c r="G15" s="203" t="s">
        <v>103</v>
      </c>
      <c r="H15" s="204">
        <v>4000</v>
      </c>
    </row>
    <row r="16" spans="1:16" x14ac:dyDescent="0.3">
      <c r="B16" s="70" t="s">
        <v>41</v>
      </c>
      <c r="C16" s="69"/>
      <c r="D16" s="98">
        <v>2500</v>
      </c>
      <c r="E16"/>
      <c r="G16" s="192" t="s">
        <v>59</v>
      </c>
      <c r="H16" s="196">
        <v>4000</v>
      </c>
    </row>
    <row r="17" spans="2:15" x14ac:dyDescent="0.3">
      <c r="B17" s="65" t="s">
        <v>48</v>
      </c>
      <c r="C17" s="72"/>
      <c r="D17" s="86"/>
      <c r="E17"/>
      <c r="G17" s="192" t="s">
        <v>60</v>
      </c>
      <c r="H17" s="196">
        <v>4000</v>
      </c>
    </row>
    <row r="18" spans="2:15" x14ac:dyDescent="0.3">
      <c r="B18" s="70" t="s">
        <v>49</v>
      </c>
      <c r="C18" s="69"/>
      <c r="D18" s="98">
        <v>49247.8</v>
      </c>
      <c r="E18"/>
      <c r="G18" s="192" t="s">
        <v>61</v>
      </c>
      <c r="H18" s="196">
        <v>3000</v>
      </c>
    </row>
    <row r="19" spans="2:15" x14ac:dyDescent="0.3">
      <c r="B19" s="65" t="s">
        <v>50</v>
      </c>
      <c r="C19" s="72"/>
      <c r="D19" s="86"/>
      <c r="E19"/>
      <c r="G19" s="192" t="s">
        <v>62</v>
      </c>
      <c r="H19" s="196">
        <v>1950</v>
      </c>
    </row>
    <row r="20" spans="2:15" x14ac:dyDescent="0.3">
      <c r="B20" s="70" t="s">
        <v>51</v>
      </c>
      <c r="C20" s="69"/>
      <c r="D20" s="98"/>
      <c r="E20"/>
      <c r="G20" s="209" t="s">
        <v>131</v>
      </c>
      <c r="H20" s="197">
        <f>500+350</f>
        <v>850</v>
      </c>
    </row>
    <row r="21" spans="2:15" x14ac:dyDescent="0.3">
      <c r="B21" s="65" t="s">
        <v>52</v>
      </c>
      <c r="C21" s="72"/>
      <c r="D21" s="86"/>
      <c r="E21"/>
      <c r="G21"/>
    </row>
    <row r="22" spans="2:15" x14ac:dyDescent="0.3">
      <c r="B22" s="70" t="s">
        <v>53</v>
      </c>
      <c r="C22" s="69"/>
      <c r="D22" s="98"/>
      <c r="E22"/>
      <c r="G22"/>
      <c r="H22" s="3">
        <f>SUM(H15:H21)</f>
        <v>17800</v>
      </c>
    </row>
    <row r="23" spans="2:15" x14ac:dyDescent="0.3">
      <c r="B23" s="65" t="s">
        <v>107</v>
      </c>
      <c r="C23" s="72"/>
      <c r="D23" s="79">
        <v>12000</v>
      </c>
      <c r="E23"/>
      <c r="G23"/>
      <c r="H23" s="3"/>
    </row>
    <row r="24" spans="2:15" x14ac:dyDescent="0.3">
      <c r="B24" s="70" t="s">
        <v>55</v>
      </c>
      <c r="C24" s="69"/>
      <c r="D24" s="98">
        <v>9588.2800000000007</v>
      </c>
      <c r="E24"/>
      <c r="G24"/>
      <c r="H24" s="3"/>
    </row>
    <row r="25" spans="2:15" s="1" customFormat="1" x14ac:dyDescent="0.3">
      <c r="B25" s="65" t="s">
        <v>55</v>
      </c>
      <c r="C25" s="64"/>
      <c r="D25" s="79">
        <v>22800</v>
      </c>
      <c r="E25"/>
      <c r="F25" s="8"/>
      <c r="G25"/>
      <c r="H25" s="3"/>
      <c r="J25"/>
      <c r="L25"/>
      <c r="O25"/>
    </row>
    <row r="26" spans="2:15" s="1" customFormat="1" x14ac:dyDescent="0.3">
      <c r="B26" s="69" t="s">
        <v>86</v>
      </c>
      <c r="C26" s="69"/>
      <c r="D26" s="98"/>
      <c r="E26"/>
      <c r="F26" s="8"/>
      <c r="G26"/>
      <c r="H26" s="3"/>
      <c r="J26"/>
      <c r="L26"/>
      <c r="O26"/>
    </row>
    <row r="27" spans="2:15" s="1" customFormat="1" x14ac:dyDescent="0.3">
      <c r="B27" s="64" t="s">
        <v>104</v>
      </c>
      <c r="C27" s="64"/>
      <c r="D27" s="79"/>
      <c r="E27"/>
      <c r="F27" s="8"/>
      <c r="G27"/>
      <c r="H27" s="3"/>
      <c r="J27"/>
      <c r="L27"/>
      <c r="O27"/>
    </row>
    <row r="28" spans="2:15" s="1" customFormat="1" x14ac:dyDescent="0.3">
      <c r="B28" s="69" t="s">
        <v>108</v>
      </c>
      <c r="C28" s="69"/>
      <c r="D28" s="98"/>
      <c r="E28"/>
      <c r="F28" s="8"/>
      <c r="G28"/>
      <c r="H28" s="3"/>
      <c r="J28"/>
      <c r="L28"/>
      <c r="O28"/>
    </row>
    <row r="29" spans="2:15" s="1" customFormat="1" x14ac:dyDescent="0.3">
      <c r="B29" s="64" t="s">
        <v>112</v>
      </c>
      <c r="C29" s="72"/>
      <c r="D29" s="79"/>
      <c r="E29"/>
      <c r="F29" s="8"/>
      <c r="G29"/>
      <c r="H29" s="3"/>
      <c r="J29"/>
      <c r="L29"/>
      <c r="O29"/>
    </row>
    <row r="30" spans="2:15" s="1" customFormat="1" x14ac:dyDescent="0.3">
      <c r="B30" s="69" t="s">
        <v>114</v>
      </c>
      <c r="C30" s="69"/>
      <c r="D30" s="98"/>
      <c r="E30"/>
      <c r="F30" s="22"/>
      <c r="G30"/>
      <c r="H30" s="3"/>
      <c r="J30"/>
      <c r="L30"/>
      <c r="O30"/>
    </row>
    <row r="31" spans="2:15" s="1" customFormat="1" x14ac:dyDescent="0.3">
      <c r="B31" s="72" t="s">
        <v>132</v>
      </c>
      <c r="C31" s="72"/>
      <c r="D31" s="79"/>
      <c r="E31"/>
      <c r="F31" s="22"/>
      <c r="G31"/>
      <c r="H31" s="3"/>
      <c r="J31"/>
      <c r="L31"/>
      <c r="O31"/>
    </row>
    <row r="32" spans="2:15" s="1" customFormat="1" x14ac:dyDescent="0.3">
      <c r="B32" s="69" t="s">
        <v>133</v>
      </c>
      <c r="C32" s="69">
        <v>3981.94</v>
      </c>
      <c r="D32" s="98"/>
      <c r="E32"/>
      <c r="F32" s="22"/>
      <c r="G32"/>
      <c r="H32" s="3"/>
      <c r="J32"/>
      <c r="L32"/>
      <c r="O32"/>
    </row>
    <row r="33" spans="2:15" s="1" customFormat="1" x14ac:dyDescent="0.3">
      <c r="B33" s="64" t="s">
        <v>134</v>
      </c>
      <c r="C33" s="66">
        <v>2041.71</v>
      </c>
      <c r="D33" s="79"/>
      <c r="E33"/>
      <c r="F33" s="22"/>
      <c r="G33"/>
      <c r="H33" s="3"/>
      <c r="J33"/>
      <c r="L33"/>
      <c r="O33"/>
    </row>
    <row r="34" spans="2:15" s="1" customFormat="1" x14ac:dyDescent="0.3">
      <c r="B34" s="69" t="s">
        <v>11</v>
      </c>
      <c r="C34" s="69"/>
      <c r="D34" s="98">
        <v>10000</v>
      </c>
      <c r="E34"/>
      <c r="F34" s="22"/>
      <c r="G34"/>
      <c r="H34" s="3"/>
      <c r="J34"/>
      <c r="L34"/>
      <c r="O34"/>
    </row>
    <row r="35" spans="2:15" s="1" customFormat="1" x14ac:dyDescent="0.3">
      <c r="B35" s="64" t="s">
        <v>118</v>
      </c>
      <c r="C35" s="64"/>
      <c r="D35" s="79"/>
      <c r="E35"/>
      <c r="F35" s="22"/>
      <c r="G35"/>
      <c r="H35" s="3"/>
      <c r="J35"/>
      <c r="L35"/>
      <c r="O35"/>
    </row>
    <row r="36" spans="2:15" s="1" customFormat="1" x14ac:dyDescent="0.3">
      <c r="B36" s="69" t="s">
        <v>135</v>
      </c>
      <c r="C36" s="69">
        <v>15600</v>
      </c>
      <c r="D36" s="98"/>
      <c r="E36"/>
      <c r="F36" s="22"/>
      <c r="J36"/>
      <c r="L36"/>
      <c r="O36"/>
    </row>
    <row r="37" spans="2:15" s="1" customFormat="1" x14ac:dyDescent="0.3">
      <c r="B37" s="64" t="s">
        <v>136</v>
      </c>
      <c r="C37" s="66">
        <v>37500</v>
      </c>
      <c r="D37" s="79"/>
      <c r="E37"/>
      <c r="F37" s="22"/>
      <c r="J37"/>
      <c r="L37"/>
      <c r="O37"/>
    </row>
    <row r="38" spans="2:15" s="1" customFormat="1" x14ac:dyDescent="0.3">
      <c r="B38" s="69"/>
      <c r="C38" s="69"/>
      <c r="D38" s="98"/>
      <c r="E38"/>
      <c r="F38" s="22"/>
      <c r="J38"/>
      <c r="L38"/>
      <c r="O38"/>
    </row>
    <row r="39" spans="2:15" x14ac:dyDescent="0.3">
      <c r="B39" s="65"/>
      <c r="C39" s="67">
        <f>SUM(C7:C38)</f>
        <v>171923.65000000002</v>
      </c>
      <c r="D39" s="105">
        <f>SUM(D7:D38)</f>
        <v>121136.08</v>
      </c>
      <c r="E39"/>
    </row>
    <row r="40" spans="2:15" x14ac:dyDescent="0.3">
      <c r="B40" s="70"/>
      <c r="C40" s="69"/>
      <c r="D40" s="98"/>
      <c r="E40"/>
    </row>
    <row r="41" spans="2:15" x14ac:dyDescent="0.3">
      <c r="B41" s="198" t="s">
        <v>429</v>
      </c>
      <c r="C41" s="185"/>
      <c r="D41" s="79"/>
      <c r="E41"/>
    </row>
    <row r="42" spans="2:15" x14ac:dyDescent="0.3">
      <c r="B42" s="87" t="s">
        <v>110</v>
      </c>
      <c r="C42" s="69"/>
      <c r="D42" s="179"/>
      <c r="E42"/>
    </row>
    <row r="43" spans="2:15" x14ac:dyDescent="0.3">
      <c r="B43" s="65" t="s">
        <v>119</v>
      </c>
      <c r="C43" s="64">
        <v>780</v>
      </c>
      <c r="D43" s="180"/>
      <c r="E43"/>
    </row>
    <row r="44" spans="2:15" s="1" customFormat="1" x14ac:dyDescent="0.3">
      <c r="B44" s="70" t="s">
        <v>120</v>
      </c>
      <c r="C44" s="69">
        <v>800</v>
      </c>
      <c r="D44" s="179"/>
      <c r="E44"/>
      <c r="F44" s="8"/>
      <c r="J44"/>
      <c r="L44"/>
    </row>
    <row r="45" spans="2:15" x14ac:dyDescent="0.3">
      <c r="B45" s="192" t="s">
        <v>121</v>
      </c>
      <c r="C45" s="196">
        <v>1500</v>
      </c>
      <c r="E45"/>
    </row>
    <row r="46" spans="2:15" s="1" customFormat="1" x14ac:dyDescent="0.3">
      <c r="B46" s="192" t="s">
        <v>122</v>
      </c>
      <c r="C46" s="196">
        <v>1000</v>
      </c>
      <c r="E46"/>
      <c r="F46" s="8"/>
      <c r="J46"/>
      <c r="L46"/>
    </row>
    <row r="47" spans="2:15" s="1" customFormat="1" x14ac:dyDescent="0.3">
      <c r="B47" s="192" t="s">
        <v>123</v>
      </c>
      <c r="C47" s="196">
        <v>700</v>
      </c>
      <c r="E47"/>
      <c r="F47" s="8"/>
      <c r="J47"/>
      <c r="L47"/>
    </row>
    <row r="48" spans="2:15" s="1" customFormat="1" x14ac:dyDescent="0.3">
      <c r="B48" s="192" t="s">
        <v>124</v>
      </c>
      <c r="C48" s="196">
        <v>600</v>
      </c>
      <c r="E48"/>
      <c r="F48" s="8"/>
      <c r="J48"/>
      <c r="L48"/>
    </row>
    <row r="49" spans="2:5" x14ac:dyDescent="0.3">
      <c r="B49" s="195"/>
      <c r="C49" s="205">
        <f>SUM(C43:C48)</f>
        <v>5380</v>
      </c>
      <c r="E49"/>
    </row>
  </sheetData>
  <mergeCells count="1">
    <mergeCell ref="O1:P1"/>
  </mergeCells>
  <conditionalFormatting sqref="P6">
    <cfRule type="cellIs" dxfId="41" priority="1" operator="lessThan">
      <formula>0</formula>
    </cfRule>
  </conditionalFormatting>
  <conditionalFormatting sqref="P6">
    <cfRule type="cellIs" dxfId="4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7ACB-8C88-423E-AEF9-A3FA210DCF83}">
  <dimension ref="A1:P49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41.33203125" style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446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C39</f>
        <v>83200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D39</f>
        <v>298963.54000000004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299468.27999999997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127</v>
      </c>
      <c r="C6" s="82" t="s">
        <v>90</v>
      </c>
      <c r="D6" s="103" t="s">
        <v>91</v>
      </c>
      <c r="E6"/>
      <c r="G6" s="122" t="s">
        <v>92</v>
      </c>
      <c r="H6" s="124"/>
      <c r="J6" s="3" t="s">
        <v>92</v>
      </c>
      <c r="L6" s="1"/>
      <c r="O6" s="271" t="s">
        <v>444</v>
      </c>
      <c r="P6" s="272">
        <f>P4-P5-P2</f>
        <v>216268.27999999997</v>
      </c>
    </row>
    <row r="7" spans="1:16" x14ac:dyDescent="0.3">
      <c r="B7" s="65" t="s">
        <v>30</v>
      </c>
      <c r="C7" s="66">
        <v>73000</v>
      </c>
      <c r="D7" s="99">
        <v>22000</v>
      </c>
      <c r="E7"/>
      <c r="G7" s="123" t="s">
        <v>137</v>
      </c>
      <c r="H7" s="125">
        <f>22000+16000+9000</f>
        <v>47000</v>
      </c>
      <c r="K7" s="1">
        <f>9.08*90</f>
        <v>817.2</v>
      </c>
      <c r="L7" s="1">
        <v>65</v>
      </c>
      <c r="M7" s="1">
        <f>K7*L7</f>
        <v>53118</v>
      </c>
    </row>
    <row r="8" spans="1:16" x14ac:dyDescent="0.3">
      <c r="B8" s="70" t="s">
        <v>41</v>
      </c>
      <c r="C8" s="69">
        <v>10200</v>
      </c>
      <c r="D8" s="98">
        <v>14950</v>
      </c>
      <c r="E8"/>
      <c r="G8" s="123" t="s">
        <v>138</v>
      </c>
      <c r="H8" s="125">
        <f>41612-(41612*0.04)</f>
        <v>39947.519999999997</v>
      </c>
      <c r="K8" s="1" t="s">
        <v>129</v>
      </c>
      <c r="L8" s="1"/>
      <c r="M8" s="34">
        <v>-15600</v>
      </c>
    </row>
    <row r="9" spans="1:16" x14ac:dyDescent="0.3">
      <c r="B9" s="65" t="s">
        <v>2</v>
      </c>
      <c r="C9" s="72"/>
      <c r="D9" s="79"/>
      <c r="E9"/>
      <c r="G9" s="123" t="s">
        <v>130</v>
      </c>
      <c r="H9" s="125">
        <f>103456-(103456*0.04)</f>
        <v>99317.759999999995</v>
      </c>
      <c r="L9" s="1"/>
      <c r="M9" s="3">
        <f>SUM(M7:M8)</f>
        <v>37518</v>
      </c>
    </row>
    <row r="10" spans="1:16" x14ac:dyDescent="0.3">
      <c r="B10" s="70" t="s">
        <v>73</v>
      </c>
      <c r="C10" s="69"/>
      <c r="D10" s="98"/>
      <c r="E10"/>
      <c r="G10" s="123" t="s">
        <v>130</v>
      </c>
      <c r="H10" s="125">
        <f>82319+30884</f>
        <v>113203</v>
      </c>
    </row>
    <row r="11" spans="1:16" x14ac:dyDescent="0.3">
      <c r="B11" s="83" t="s">
        <v>37</v>
      </c>
      <c r="C11" s="64"/>
      <c r="D11" s="99">
        <v>15000</v>
      </c>
      <c r="E11"/>
      <c r="G11" s="126"/>
      <c r="H11" s="127">
        <f>SUM(H7:H10)</f>
        <v>299468.27999999997</v>
      </c>
    </row>
    <row r="12" spans="1:16" x14ac:dyDescent="0.3">
      <c r="B12" s="70" t="s">
        <v>7</v>
      </c>
      <c r="C12" s="69"/>
      <c r="D12" s="98"/>
      <c r="E12"/>
      <c r="G12" s="1" t="s">
        <v>99</v>
      </c>
      <c r="H12" s="32">
        <f>H11-C39-D39</f>
        <v>-82695.260000000068</v>
      </c>
    </row>
    <row r="13" spans="1:16" x14ac:dyDescent="0.3">
      <c r="B13" s="65" t="s">
        <v>38</v>
      </c>
      <c r="C13" s="64"/>
      <c r="D13" s="79"/>
      <c r="E13"/>
    </row>
    <row r="14" spans="1:16" x14ac:dyDescent="0.3">
      <c r="B14" s="70" t="s">
        <v>102</v>
      </c>
      <c r="C14" s="69"/>
      <c r="D14" s="98"/>
      <c r="E14"/>
    </row>
    <row r="15" spans="1:16" x14ac:dyDescent="0.3">
      <c r="B15" s="65" t="s">
        <v>40</v>
      </c>
      <c r="C15" s="64"/>
      <c r="D15" s="79"/>
      <c r="E15"/>
      <c r="G15" t="s">
        <v>103</v>
      </c>
      <c r="H15" s="1">
        <v>4000</v>
      </c>
    </row>
    <row r="16" spans="1:16" x14ac:dyDescent="0.3">
      <c r="B16" s="70" t="s">
        <v>48</v>
      </c>
      <c r="C16" s="69"/>
      <c r="D16" s="98"/>
      <c r="E16"/>
      <c r="G16" t="s">
        <v>59</v>
      </c>
      <c r="H16" s="1">
        <v>4000</v>
      </c>
      <c r="K16" s="218" t="s">
        <v>429</v>
      </c>
    </row>
    <row r="17" spans="1:15" x14ac:dyDescent="0.3">
      <c r="B17" s="65" t="s">
        <v>49</v>
      </c>
      <c r="C17" s="72"/>
      <c r="D17" s="79">
        <v>49247.8</v>
      </c>
      <c r="E17"/>
      <c r="G17" t="s">
        <v>60</v>
      </c>
      <c r="H17" s="1">
        <v>4000</v>
      </c>
      <c r="K17" s="186" t="s">
        <v>139</v>
      </c>
      <c r="L17" s="220">
        <v>22000</v>
      </c>
    </row>
    <row r="18" spans="1:15" x14ac:dyDescent="0.3">
      <c r="B18" s="70" t="s">
        <v>50</v>
      </c>
      <c r="C18" s="69"/>
      <c r="D18" s="98"/>
      <c r="E18"/>
      <c r="G18" t="s">
        <v>61</v>
      </c>
      <c r="H18" s="1">
        <v>3000</v>
      </c>
      <c r="K18" s="208" t="s">
        <v>140</v>
      </c>
      <c r="L18" s="196">
        <v>20000</v>
      </c>
    </row>
    <row r="19" spans="1:15" x14ac:dyDescent="0.3">
      <c r="B19" s="65" t="s">
        <v>51</v>
      </c>
      <c r="C19" s="72"/>
      <c r="D19" s="86"/>
      <c r="E19"/>
      <c r="G19" t="s">
        <v>62</v>
      </c>
      <c r="H19" s="1">
        <v>1950</v>
      </c>
      <c r="K19" s="208" t="s">
        <v>141</v>
      </c>
      <c r="L19" s="196">
        <v>13400</v>
      </c>
    </row>
    <row r="20" spans="1:15" x14ac:dyDescent="0.3">
      <c r="B20" s="70" t="s">
        <v>52</v>
      </c>
      <c r="C20" s="69"/>
      <c r="D20" s="98">
        <v>15660</v>
      </c>
      <c r="E20"/>
      <c r="G20" s="1" t="s">
        <v>142</v>
      </c>
      <c r="H20" s="1">
        <v>2200</v>
      </c>
      <c r="K20" s="209"/>
      <c r="L20" s="221">
        <f>SUM(L17:L19)</f>
        <v>55400</v>
      </c>
    </row>
    <row r="21" spans="1:15" x14ac:dyDescent="0.3">
      <c r="B21" s="65" t="s">
        <v>53</v>
      </c>
      <c r="C21" s="72"/>
      <c r="D21" s="79"/>
      <c r="E21"/>
      <c r="G21" t="s">
        <v>19</v>
      </c>
      <c r="H21" s="1">
        <v>3000</v>
      </c>
    </row>
    <row r="22" spans="1:15" x14ac:dyDescent="0.3">
      <c r="B22" s="70" t="s">
        <v>107</v>
      </c>
      <c r="C22" s="69"/>
      <c r="D22" s="98">
        <f>1664+4138</f>
        <v>5802</v>
      </c>
      <c r="E22"/>
      <c r="G22" t="s">
        <v>143</v>
      </c>
      <c r="H22" s="1">
        <v>3000</v>
      </c>
    </row>
    <row r="23" spans="1:15" x14ac:dyDescent="0.3">
      <c r="B23" s="65" t="s">
        <v>55</v>
      </c>
      <c r="C23" s="64"/>
      <c r="D23" s="99">
        <v>37000</v>
      </c>
      <c r="E23"/>
      <c r="G23"/>
      <c r="H23" s="3">
        <f>SUM(H15:H22)</f>
        <v>25150</v>
      </c>
    </row>
    <row r="24" spans="1:15" x14ac:dyDescent="0.3">
      <c r="A24" s="1"/>
      <c r="B24" s="70" t="s">
        <v>55</v>
      </c>
      <c r="C24" s="69"/>
      <c r="D24" s="98"/>
      <c r="E24"/>
      <c r="G24" s="2" t="s">
        <v>91</v>
      </c>
      <c r="H24" s="3"/>
      <c r="L24" s="35"/>
    </row>
    <row r="25" spans="1:15" s="1" customFormat="1" x14ac:dyDescent="0.3">
      <c r="B25" s="64" t="s">
        <v>144</v>
      </c>
      <c r="C25" s="64"/>
      <c r="D25" s="99">
        <v>8460.6</v>
      </c>
      <c r="E25"/>
      <c r="F25" s="8"/>
      <c r="G25" t="s">
        <v>103</v>
      </c>
      <c r="H25" s="1">
        <v>6000</v>
      </c>
      <c r="J25"/>
      <c r="L25">
        <v>4.8388767700000002E-2</v>
      </c>
      <c r="M25" s="1" t="s">
        <v>145</v>
      </c>
      <c r="O25"/>
    </row>
    <row r="26" spans="1:15" s="1" customFormat="1" x14ac:dyDescent="0.3">
      <c r="B26" s="69" t="s">
        <v>104</v>
      </c>
      <c r="C26" s="69"/>
      <c r="D26" s="98">
        <f>16.8*1.16*500</f>
        <v>9744</v>
      </c>
      <c r="E26"/>
      <c r="F26" s="8"/>
      <c r="G26" t="s">
        <v>59</v>
      </c>
      <c r="H26" s="1">
        <v>1000</v>
      </c>
      <c r="J26"/>
      <c r="L26" s="36"/>
      <c r="O26"/>
    </row>
    <row r="27" spans="1:15" s="1" customFormat="1" x14ac:dyDescent="0.3">
      <c r="B27" s="64" t="s">
        <v>108</v>
      </c>
      <c r="C27" s="64"/>
      <c r="D27" s="86"/>
      <c r="E27"/>
      <c r="F27" s="8"/>
      <c r="G27" t="s">
        <v>60</v>
      </c>
      <c r="H27" s="1">
        <v>1000</v>
      </c>
      <c r="J27"/>
      <c r="L27"/>
      <c r="O27"/>
    </row>
    <row r="28" spans="1:15" s="1" customFormat="1" x14ac:dyDescent="0.3">
      <c r="B28" s="69" t="s">
        <v>112</v>
      </c>
      <c r="C28" s="69"/>
      <c r="D28" s="98"/>
      <c r="E28"/>
      <c r="F28" s="8"/>
      <c r="G28" t="s">
        <v>61</v>
      </c>
      <c r="H28" s="1">
        <v>1000</v>
      </c>
      <c r="J28"/>
      <c r="L28"/>
      <c r="O28"/>
    </row>
    <row r="29" spans="1:15" s="1" customFormat="1" x14ac:dyDescent="0.3">
      <c r="B29" s="64" t="s">
        <v>114</v>
      </c>
      <c r="C29" s="72"/>
      <c r="D29" s="79"/>
      <c r="E29"/>
      <c r="F29" s="22"/>
      <c r="G29" t="s">
        <v>62</v>
      </c>
      <c r="H29" s="1">
        <v>1950</v>
      </c>
      <c r="J29"/>
      <c r="L29"/>
      <c r="O29"/>
    </row>
    <row r="30" spans="1:15" s="1" customFormat="1" x14ac:dyDescent="0.3">
      <c r="B30" s="69" t="s">
        <v>132</v>
      </c>
      <c r="C30" s="69"/>
      <c r="D30" s="98">
        <v>7389.2</v>
      </c>
      <c r="E30"/>
      <c r="F30" s="22"/>
      <c r="G30" s="1" t="s">
        <v>142</v>
      </c>
      <c r="J30" s="6">
        <f>SUM(H25:H29)</f>
        <v>10950</v>
      </c>
      <c r="L30">
        <f>16.8*500*1.16</f>
        <v>9744</v>
      </c>
      <c r="O30"/>
    </row>
    <row r="31" spans="1:15" s="1" customFormat="1" x14ac:dyDescent="0.3">
      <c r="B31" s="64" t="s">
        <v>146</v>
      </c>
      <c r="C31" s="72"/>
      <c r="D31" s="99">
        <v>9570</v>
      </c>
      <c r="E31"/>
      <c r="F31" s="22"/>
      <c r="G31" t="s">
        <v>19</v>
      </c>
      <c r="H31" s="1">
        <v>2000</v>
      </c>
      <c r="J31"/>
      <c r="L31"/>
      <c r="O31"/>
    </row>
    <row r="32" spans="1:15" s="1" customFormat="1" x14ac:dyDescent="0.3">
      <c r="B32" s="69" t="s">
        <v>147</v>
      </c>
      <c r="C32" s="69"/>
      <c r="D32" s="98">
        <v>246.44</v>
      </c>
      <c r="E32"/>
      <c r="F32" s="22"/>
      <c r="G32" t="s">
        <v>143</v>
      </c>
      <c r="H32" s="1">
        <v>2000</v>
      </c>
      <c r="J32"/>
      <c r="L32"/>
      <c r="O32"/>
    </row>
    <row r="33" spans="1:15" s="1" customFormat="1" x14ac:dyDescent="0.3">
      <c r="B33" s="64" t="s">
        <v>148</v>
      </c>
      <c r="C33" s="72"/>
      <c r="D33" s="99">
        <v>593.5</v>
      </c>
      <c r="E33"/>
      <c r="F33" s="22"/>
      <c r="G33"/>
      <c r="H33" s="3">
        <f>SUM(H25:H32)</f>
        <v>14950</v>
      </c>
      <c r="J33"/>
      <c r="L33"/>
      <c r="O33"/>
    </row>
    <row r="34" spans="1:15" s="1" customFormat="1" x14ac:dyDescent="0.3">
      <c r="B34" s="69" t="s">
        <v>149</v>
      </c>
      <c r="C34" s="69"/>
      <c r="D34" s="98">
        <v>7900</v>
      </c>
      <c r="E34"/>
      <c r="F34" s="22"/>
      <c r="G34"/>
      <c r="H34" s="3"/>
      <c r="J34"/>
      <c r="L34"/>
      <c r="O34"/>
    </row>
    <row r="35" spans="1:15" s="1" customFormat="1" x14ac:dyDescent="0.3">
      <c r="B35" s="64" t="s">
        <v>150</v>
      </c>
      <c r="C35" s="72"/>
      <c r="D35" s="99">
        <v>47000</v>
      </c>
      <c r="E35"/>
      <c r="F35" s="22"/>
      <c r="G35"/>
      <c r="H35" s="3"/>
      <c r="J35"/>
      <c r="L35"/>
      <c r="O35"/>
    </row>
    <row r="36" spans="1:15" s="1" customFormat="1" x14ac:dyDescent="0.3">
      <c r="B36" s="69" t="s">
        <v>151</v>
      </c>
      <c r="C36" s="69"/>
      <c r="D36" s="98">
        <v>20000</v>
      </c>
      <c r="E36"/>
      <c r="F36" s="22"/>
      <c r="J36"/>
      <c r="L36"/>
      <c r="O36"/>
    </row>
    <row r="37" spans="1:15" s="1" customFormat="1" x14ac:dyDescent="0.3">
      <c r="B37" s="64" t="s">
        <v>104</v>
      </c>
      <c r="C37" s="64"/>
      <c r="D37" s="99">
        <v>13400</v>
      </c>
      <c r="E37"/>
      <c r="F37" s="22"/>
      <c r="J37"/>
      <c r="L37"/>
      <c r="O37"/>
    </row>
    <row r="38" spans="1:15" s="1" customFormat="1" x14ac:dyDescent="0.3">
      <c r="B38" s="69" t="s">
        <v>152</v>
      </c>
      <c r="C38" s="69"/>
      <c r="D38" s="98">
        <v>15000</v>
      </c>
      <c r="E38"/>
      <c r="F38" s="22"/>
      <c r="J38"/>
      <c r="L38"/>
      <c r="O38"/>
    </row>
    <row r="39" spans="1:15" s="1" customFormat="1" x14ac:dyDescent="0.3">
      <c r="A39"/>
      <c r="B39" s="65"/>
      <c r="C39" s="67">
        <f>SUM(C7:C37)</f>
        <v>83200</v>
      </c>
      <c r="D39" s="105">
        <f>SUM(D7:D38)</f>
        <v>298963.54000000004</v>
      </c>
      <c r="E39"/>
      <c r="F39" s="8"/>
      <c r="G39" s="224" t="s">
        <v>430</v>
      </c>
      <c r="J39"/>
      <c r="L39"/>
      <c r="O39"/>
    </row>
    <row r="40" spans="1:15" x14ac:dyDescent="0.3">
      <c r="E40"/>
      <c r="G40" s="185">
        <v>99300</v>
      </c>
    </row>
    <row r="41" spans="1:15" x14ac:dyDescent="0.3">
      <c r="E41"/>
      <c r="G41" s="183">
        <v>27000</v>
      </c>
    </row>
    <row r="42" spans="1:15" x14ac:dyDescent="0.3">
      <c r="E42"/>
      <c r="G42" s="223">
        <f>G40-G41</f>
        <v>72300</v>
      </c>
    </row>
    <row r="43" spans="1:15" x14ac:dyDescent="0.3">
      <c r="E43"/>
      <c r="G43" s="183">
        <v>11000</v>
      </c>
    </row>
    <row r="44" spans="1:15" x14ac:dyDescent="0.3">
      <c r="A44" s="1"/>
      <c r="E44"/>
      <c r="G44" s="178">
        <f>G42-G43</f>
        <v>61300</v>
      </c>
    </row>
    <row r="45" spans="1:15" s="1" customFormat="1" x14ac:dyDescent="0.3">
      <c r="A45"/>
      <c r="B45"/>
      <c r="F45" s="8"/>
      <c r="J45"/>
      <c r="L45"/>
    </row>
    <row r="46" spans="1:15" x14ac:dyDescent="0.3">
      <c r="A46" s="1"/>
    </row>
    <row r="47" spans="1:15" s="1" customFormat="1" x14ac:dyDescent="0.3">
      <c r="B47"/>
      <c r="F47" s="8"/>
      <c r="J47"/>
      <c r="L47"/>
    </row>
    <row r="48" spans="1:15" s="1" customFormat="1" x14ac:dyDescent="0.3">
      <c r="B48"/>
      <c r="F48" s="8"/>
      <c r="J48"/>
      <c r="L48"/>
    </row>
    <row r="49" spans="1:12" s="1" customFormat="1" x14ac:dyDescent="0.3">
      <c r="A49"/>
      <c r="B49"/>
      <c r="F49" s="8"/>
      <c r="J49"/>
      <c r="L49"/>
    </row>
  </sheetData>
  <mergeCells count="1">
    <mergeCell ref="O1:P1"/>
  </mergeCells>
  <conditionalFormatting sqref="P6">
    <cfRule type="cellIs" dxfId="39" priority="1" operator="lessThan">
      <formula>0</formula>
    </cfRule>
  </conditionalFormatting>
  <conditionalFormatting sqref="P6">
    <cfRule type="cellIs" dxfId="38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36D4-B2D7-4195-93FD-1E763D07BB0D}">
  <dimension ref="A1:P49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41.886718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446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C39</f>
        <v>130780.56000000001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D39</f>
        <v>96247.8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165824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127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O6" s="271" t="s">
        <v>444</v>
      </c>
      <c r="P6" s="272">
        <f>P4-P5-P2</f>
        <v>35043.439999999988</v>
      </c>
    </row>
    <row r="7" spans="1:16" x14ac:dyDescent="0.3">
      <c r="B7" s="65" t="s">
        <v>30</v>
      </c>
      <c r="C7" s="66">
        <v>95000</v>
      </c>
      <c r="D7" s="79"/>
      <c r="E7"/>
      <c r="G7" s="123"/>
      <c r="H7" s="125"/>
      <c r="L7" s="1"/>
    </row>
    <row r="8" spans="1:16" x14ac:dyDescent="0.3">
      <c r="B8" s="70" t="s">
        <v>41</v>
      </c>
      <c r="C8" s="69">
        <f>H33</f>
        <v>25250</v>
      </c>
      <c r="D8" s="98"/>
      <c r="E8"/>
      <c r="G8" s="123" t="s">
        <v>138</v>
      </c>
      <c r="H8" s="125">
        <v>100000</v>
      </c>
      <c r="L8" s="1"/>
    </row>
    <row r="9" spans="1:16" x14ac:dyDescent="0.3">
      <c r="B9" s="65" t="s">
        <v>2</v>
      </c>
      <c r="C9" s="72"/>
      <c r="D9" s="79"/>
      <c r="E9"/>
      <c r="G9" s="123" t="s">
        <v>153</v>
      </c>
      <c r="H9" s="125">
        <v>65824</v>
      </c>
      <c r="L9" s="1"/>
    </row>
    <row r="10" spans="1:16" x14ac:dyDescent="0.3">
      <c r="B10" s="70" t="s">
        <v>73</v>
      </c>
      <c r="C10" s="69"/>
      <c r="D10" s="98"/>
      <c r="E10"/>
      <c r="G10" s="123"/>
      <c r="H10" s="125"/>
      <c r="L10" s="1"/>
    </row>
    <row r="11" spans="1:16" x14ac:dyDescent="0.3">
      <c r="B11" s="83" t="s">
        <v>37</v>
      </c>
      <c r="C11" s="64"/>
      <c r="D11" s="79"/>
      <c r="E11"/>
      <c r="G11" s="126"/>
      <c r="H11" s="127">
        <f>SUM(H7:H10)</f>
        <v>165824</v>
      </c>
      <c r="L11" s="1"/>
    </row>
    <row r="12" spans="1:16" x14ac:dyDescent="0.3">
      <c r="B12" s="70" t="s">
        <v>7</v>
      </c>
      <c r="C12" s="69"/>
      <c r="D12" s="98"/>
      <c r="E12"/>
      <c r="G12" s="1" t="s">
        <v>99</v>
      </c>
      <c r="H12" s="32">
        <f>H11-C39-D39</f>
        <v>-61204.360000000015</v>
      </c>
      <c r="L12" s="1"/>
    </row>
    <row r="13" spans="1:16" x14ac:dyDescent="0.3">
      <c r="B13" s="65" t="s">
        <v>38</v>
      </c>
      <c r="C13" s="64"/>
      <c r="D13" s="79"/>
      <c r="E13"/>
      <c r="L13">
        <f>9*60*13.6</f>
        <v>7344</v>
      </c>
    </row>
    <row r="14" spans="1:16" x14ac:dyDescent="0.3">
      <c r="B14" s="70" t="s">
        <v>102</v>
      </c>
      <c r="C14" s="69"/>
      <c r="D14" s="98"/>
      <c r="E14"/>
      <c r="G14" s="218" t="s">
        <v>429</v>
      </c>
      <c r="L14">
        <f>L13/150</f>
        <v>48.96</v>
      </c>
    </row>
    <row r="15" spans="1:16" x14ac:dyDescent="0.3">
      <c r="B15" s="65" t="s">
        <v>40</v>
      </c>
      <c r="C15" s="64"/>
      <c r="D15" s="79"/>
      <c r="E15"/>
      <c r="G15" s="203" t="s">
        <v>103</v>
      </c>
      <c r="H15" s="204">
        <v>4000</v>
      </c>
    </row>
    <row r="16" spans="1:16" x14ac:dyDescent="0.3">
      <c r="B16" s="70" t="s">
        <v>48</v>
      </c>
      <c r="C16" s="69"/>
      <c r="D16" s="98"/>
      <c r="E16"/>
      <c r="G16" s="192" t="s">
        <v>59</v>
      </c>
      <c r="H16" s="196">
        <v>4000</v>
      </c>
    </row>
    <row r="17" spans="1:15" x14ac:dyDescent="0.3">
      <c r="B17" s="65" t="s">
        <v>49</v>
      </c>
      <c r="C17" s="72"/>
      <c r="D17" s="79">
        <v>49247.8</v>
      </c>
      <c r="E17"/>
      <c r="G17" s="192" t="s">
        <v>60</v>
      </c>
      <c r="H17" s="196">
        <v>4000</v>
      </c>
      <c r="M17" s="1" t="s">
        <v>154</v>
      </c>
    </row>
    <row r="18" spans="1:15" x14ac:dyDescent="0.3">
      <c r="B18" s="70" t="s">
        <v>50</v>
      </c>
      <c r="C18" s="69"/>
      <c r="D18" s="98"/>
      <c r="E18"/>
      <c r="G18" s="192" t="s">
        <v>61</v>
      </c>
      <c r="H18" s="196">
        <v>3000</v>
      </c>
    </row>
    <row r="19" spans="1:15" x14ac:dyDescent="0.3">
      <c r="B19" s="65" t="s">
        <v>51</v>
      </c>
      <c r="C19" s="72"/>
      <c r="D19" s="79"/>
      <c r="E19"/>
      <c r="G19" s="192" t="s">
        <v>62</v>
      </c>
      <c r="H19" s="196">
        <v>1950</v>
      </c>
    </row>
    <row r="20" spans="1:15" x14ac:dyDescent="0.3">
      <c r="B20" s="70" t="s">
        <v>52</v>
      </c>
      <c r="C20" s="69"/>
      <c r="D20" s="98"/>
      <c r="E20"/>
      <c r="G20" s="208" t="s">
        <v>142</v>
      </c>
      <c r="H20" s="196">
        <f>2200/6*4-150</f>
        <v>1316.6666666666667</v>
      </c>
    </row>
    <row r="21" spans="1:15" x14ac:dyDescent="0.3">
      <c r="B21" s="65" t="s">
        <v>53</v>
      </c>
      <c r="C21" s="72"/>
      <c r="D21" s="79"/>
      <c r="E21"/>
      <c r="G21" s="192" t="s">
        <v>19</v>
      </c>
      <c r="H21" s="196">
        <v>3000</v>
      </c>
    </row>
    <row r="22" spans="1:15" x14ac:dyDescent="0.3">
      <c r="B22" s="70" t="s">
        <v>107</v>
      </c>
      <c r="C22" s="69">
        <f>H11*0.04</f>
        <v>6632.96</v>
      </c>
      <c r="D22" s="98"/>
      <c r="E22"/>
      <c r="G22" s="192" t="s">
        <v>143</v>
      </c>
      <c r="H22" s="196">
        <v>3000</v>
      </c>
    </row>
    <row r="23" spans="1:15" x14ac:dyDescent="0.3">
      <c r="B23" s="65" t="s">
        <v>55</v>
      </c>
      <c r="C23" s="64"/>
      <c r="D23" s="86"/>
      <c r="E23"/>
      <c r="G23" s="195"/>
      <c r="H23" s="205">
        <f>SUM(H15:H22)</f>
        <v>24266.666666666668</v>
      </c>
    </row>
    <row r="24" spans="1:15" x14ac:dyDescent="0.3">
      <c r="A24" s="1"/>
      <c r="B24" s="70" t="s">
        <v>55</v>
      </c>
      <c r="C24" s="69"/>
      <c r="D24" s="98"/>
      <c r="E24"/>
      <c r="G24" s="225" t="s">
        <v>429</v>
      </c>
      <c r="H24" s="3"/>
    </row>
    <row r="25" spans="1:15" s="1" customFormat="1" x14ac:dyDescent="0.3">
      <c r="B25" s="64" t="s">
        <v>144</v>
      </c>
      <c r="C25" s="64"/>
      <c r="D25" s="86"/>
      <c r="E25"/>
      <c r="F25" s="8"/>
      <c r="G25" s="203" t="s">
        <v>103</v>
      </c>
      <c r="H25" s="204">
        <v>4000</v>
      </c>
      <c r="J25"/>
      <c r="L25"/>
      <c r="O25"/>
    </row>
    <row r="26" spans="1:15" s="1" customFormat="1" x14ac:dyDescent="0.3">
      <c r="B26" s="69" t="s">
        <v>104</v>
      </c>
      <c r="C26" s="69"/>
      <c r="D26" s="98"/>
      <c r="E26"/>
      <c r="F26" s="8"/>
      <c r="G26" s="192" t="s">
        <v>59</v>
      </c>
      <c r="H26" s="196">
        <v>4000</v>
      </c>
      <c r="J26"/>
      <c r="L26"/>
      <c r="O26"/>
    </row>
    <row r="27" spans="1:15" s="1" customFormat="1" x14ac:dyDescent="0.3">
      <c r="B27" s="64" t="s">
        <v>108</v>
      </c>
      <c r="C27" s="64"/>
      <c r="D27" s="79"/>
      <c r="E27"/>
      <c r="F27" s="8"/>
      <c r="G27" s="192" t="s">
        <v>60</v>
      </c>
      <c r="H27" s="196">
        <v>4000</v>
      </c>
      <c r="J27"/>
      <c r="L27"/>
      <c r="O27"/>
    </row>
    <row r="28" spans="1:15" s="1" customFormat="1" x14ac:dyDescent="0.3">
      <c r="B28" s="69" t="s">
        <v>112</v>
      </c>
      <c r="C28" s="69"/>
      <c r="D28" s="98"/>
      <c r="E28"/>
      <c r="F28" s="8"/>
      <c r="G28" s="192" t="s">
        <v>61</v>
      </c>
      <c r="H28" s="196">
        <v>3000</v>
      </c>
      <c r="J28"/>
      <c r="L28"/>
      <c r="O28"/>
    </row>
    <row r="29" spans="1:15" s="1" customFormat="1" x14ac:dyDescent="0.3">
      <c r="B29" s="64" t="s">
        <v>114</v>
      </c>
      <c r="C29" s="72"/>
      <c r="D29" s="79"/>
      <c r="E29"/>
      <c r="F29" s="22"/>
      <c r="G29" s="192" t="s">
        <v>62</v>
      </c>
      <c r="H29" s="196">
        <v>1950</v>
      </c>
      <c r="J29"/>
      <c r="L29"/>
      <c r="O29"/>
    </row>
    <row r="30" spans="1:15" s="1" customFormat="1" x14ac:dyDescent="0.3">
      <c r="B30" s="69" t="s">
        <v>132</v>
      </c>
      <c r="C30" s="69"/>
      <c r="D30" s="98"/>
      <c r="E30"/>
      <c r="F30" s="22"/>
      <c r="G30" s="208" t="s">
        <v>142</v>
      </c>
      <c r="H30" s="196">
        <v>1300</v>
      </c>
      <c r="J30"/>
      <c r="L30"/>
      <c r="O30"/>
    </row>
    <row r="31" spans="1:15" s="1" customFormat="1" x14ac:dyDescent="0.3">
      <c r="B31" s="64" t="s">
        <v>146</v>
      </c>
      <c r="C31" s="72"/>
      <c r="D31" s="79"/>
      <c r="E31"/>
      <c r="F31" s="22"/>
      <c r="G31" s="192" t="s">
        <v>19</v>
      </c>
      <c r="H31" s="196">
        <v>3500</v>
      </c>
      <c r="J31"/>
      <c r="L31"/>
      <c r="O31"/>
    </row>
    <row r="32" spans="1:15" s="1" customFormat="1" x14ac:dyDescent="0.3">
      <c r="B32" s="69" t="s">
        <v>147</v>
      </c>
      <c r="C32" s="69"/>
      <c r="D32" s="98"/>
      <c r="E32"/>
      <c r="F32" s="22"/>
      <c r="G32" s="192" t="s">
        <v>143</v>
      </c>
      <c r="H32" s="196">
        <v>3500</v>
      </c>
      <c r="J32"/>
      <c r="L32"/>
      <c r="O32"/>
    </row>
    <row r="33" spans="1:15" s="1" customFormat="1" x14ac:dyDescent="0.3">
      <c r="B33" s="64" t="s">
        <v>148</v>
      </c>
      <c r="C33" s="72"/>
      <c r="D33" s="79"/>
      <c r="E33"/>
      <c r="F33" s="22"/>
      <c r="G33" s="195"/>
      <c r="H33" s="205">
        <f>SUM(H25:H32)</f>
        <v>25250</v>
      </c>
      <c r="J33"/>
      <c r="L33"/>
      <c r="O33"/>
    </row>
    <row r="34" spans="1:15" s="1" customFormat="1" x14ac:dyDescent="0.3">
      <c r="B34" s="69" t="s">
        <v>149</v>
      </c>
      <c r="C34" s="69"/>
      <c r="D34" s="98"/>
      <c r="E34"/>
      <c r="F34" s="22"/>
      <c r="G34"/>
      <c r="H34" s="3"/>
      <c r="J34"/>
      <c r="L34"/>
      <c r="O34"/>
    </row>
    <row r="35" spans="1:15" s="1" customFormat="1" x14ac:dyDescent="0.3">
      <c r="B35" s="64" t="s">
        <v>150</v>
      </c>
      <c r="C35" s="72"/>
      <c r="D35" s="79">
        <v>47000</v>
      </c>
      <c r="E35"/>
      <c r="F35" s="22"/>
      <c r="G35"/>
      <c r="H35" s="3"/>
      <c r="J35"/>
      <c r="L35"/>
      <c r="O35"/>
    </row>
    <row r="36" spans="1:15" s="1" customFormat="1" x14ac:dyDescent="0.3">
      <c r="B36" s="69" t="s">
        <v>151</v>
      </c>
      <c r="C36" s="69"/>
      <c r="D36" s="98"/>
      <c r="E36"/>
      <c r="F36" s="22"/>
      <c r="J36"/>
      <c r="L36"/>
      <c r="O36"/>
    </row>
    <row r="37" spans="1:15" s="1" customFormat="1" x14ac:dyDescent="0.3">
      <c r="B37" s="64" t="s">
        <v>104</v>
      </c>
      <c r="C37" s="66">
        <f>16.8*200*1.16</f>
        <v>3897.6</v>
      </c>
      <c r="D37" s="79"/>
      <c r="E37"/>
      <c r="F37" s="22"/>
      <c r="J37"/>
      <c r="L37"/>
      <c r="O37"/>
    </row>
    <row r="38" spans="1:15" s="1" customFormat="1" x14ac:dyDescent="0.3">
      <c r="B38" s="69" t="s">
        <v>155</v>
      </c>
      <c r="C38" s="69">
        <f>16.8*1000</f>
        <v>16800</v>
      </c>
      <c r="D38" s="98"/>
      <c r="E38"/>
      <c r="F38" s="22"/>
      <c r="J38"/>
      <c r="L38"/>
      <c r="O38"/>
    </row>
    <row r="39" spans="1:15" s="1" customFormat="1" x14ac:dyDescent="0.3">
      <c r="A39"/>
      <c r="B39" s="65"/>
      <c r="C39" s="67">
        <f>SUM(C7:C37)</f>
        <v>130780.56000000001</v>
      </c>
      <c r="D39" s="105">
        <f>SUM(D7:D38)</f>
        <v>96247.8</v>
      </c>
      <c r="E39"/>
      <c r="F39" s="8"/>
      <c r="G39" s="224" t="s">
        <v>430</v>
      </c>
      <c r="J39"/>
      <c r="L39"/>
      <c r="O39"/>
    </row>
    <row r="40" spans="1:15" x14ac:dyDescent="0.3">
      <c r="E40"/>
      <c r="G40" s="185">
        <v>99300</v>
      </c>
    </row>
    <row r="41" spans="1:15" x14ac:dyDescent="0.3">
      <c r="E41"/>
      <c r="G41" s="183">
        <v>27000</v>
      </c>
    </row>
    <row r="42" spans="1:15" x14ac:dyDescent="0.3">
      <c r="E42"/>
      <c r="G42" s="223">
        <f>G40-G41</f>
        <v>72300</v>
      </c>
    </row>
    <row r="43" spans="1:15" x14ac:dyDescent="0.3">
      <c r="E43"/>
      <c r="G43" s="183">
        <v>11000</v>
      </c>
    </row>
    <row r="44" spans="1:15" x14ac:dyDescent="0.3">
      <c r="A44" s="1"/>
      <c r="E44"/>
      <c r="G44" s="178">
        <f>G42-G43</f>
        <v>61300</v>
      </c>
    </row>
    <row r="45" spans="1:15" s="1" customFormat="1" x14ac:dyDescent="0.3">
      <c r="A45"/>
      <c r="B45"/>
      <c r="F45" s="8"/>
      <c r="J45"/>
      <c r="L45"/>
    </row>
    <row r="46" spans="1:15" x14ac:dyDescent="0.3">
      <c r="A46" s="1"/>
    </row>
    <row r="47" spans="1:15" s="1" customFormat="1" x14ac:dyDescent="0.3">
      <c r="B47"/>
      <c r="F47" s="8"/>
      <c r="J47"/>
      <c r="L47"/>
    </row>
    <row r="48" spans="1:15" s="1" customFormat="1" x14ac:dyDescent="0.3">
      <c r="B48"/>
      <c r="F48" s="8"/>
      <c r="J48"/>
      <c r="L48"/>
    </row>
    <row r="49" spans="1:12" s="1" customFormat="1" x14ac:dyDescent="0.3">
      <c r="A49"/>
      <c r="B49"/>
      <c r="F49" s="8"/>
      <c r="J49"/>
      <c r="L49"/>
    </row>
  </sheetData>
  <mergeCells count="1">
    <mergeCell ref="O1:P1"/>
  </mergeCells>
  <conditionalFormatting sqref="P6">
    <cfRule type="cellIs" dxfId="37" priority="1" operator="lessThan">
      <formula>0</formula>
    </cfRule>
  </conditionalFormatting>
  <conditionalFormatting sqref="P6">
    <cfRule type="cellIs" dxfId="3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2F38-5E7F-4E4E-AF1C-FA6B34C3812F}">
  <dimension ref="A1:P44"/>
  <sheetViews>
    <sheetView workbookViewId="0">
      <pane ySplit="5" topLeftCell="A7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446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C34</f>
        <v>202978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D34</f>
        <v>266885.8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321376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156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O6" s="271" t="s">
        <v>444</v>
      </c>
      <c r="P6" s="272">
        <f>P4-P5-P2</f>
        <v>118398</v>
      </c>
    </row>
    <row r="7" spans="1:16" x14ac:dyDescent="0.3">
      <c r="B7" s="65" t="s">
        <v>30</v>
      </c>
      <c r="C7" s="66">
        <v>120000</v>
      </c>
      <c r="D7" s="79"/>
      <c r="E7"/>
      <c r="G7" s="123"/>
      <c r="H7" s="125"/>
      <c r="L7" s="1"/>
    </row>
    <row r="8" spans="1:16" x14ac:dyDescent="0.3">
      <c r="B8" s="70" t="s">
        <v>41</v>
      </c>
      <c r="C8" s="69">
        <f>H23</f>
        <v>14950</v>
      </c>
      <c r="D8" s="98"/>
      <c r="E8"/>
      <c r="G8" s="123" t="s">
        <v>138</v>
      </c>
      <c r="H8" s="125">
        <v>117920</v>
      </c>
      <c r="L8" s="1"/>
    </row>
    <row r="9" spans="1:16" x14ac:dyDescent="0.3">
      <c r="B9" s="65" t="s">
        <v>2</v>
      </c>
      <c r="C9" s="64"/>
      <c r="D9" s="79">
        <v>20000</v>
      </c>
      <c r="E9"/>
      <c r="G9" s="123" t="s">
        <v>153</v>
      </c>
      <c r="H9" s="125">
        <v>203456</v>
      </c>
      <c r="L9" s="1"/>
    </row>
    <row r="10" spans="1:16" x14ac:dyDescent="0.3">
      <c r="B10" s="70" t="s">
        <v>73</v>
      </c>
      <c r="C10" s="69"/>
      <c r="D10" s="98"/>
      <c r="E10"/>
      <c r="G10" s="123"/>
      <c r="H10" s="125"/>
      <c r="L10" s="1"/>
    </row>
    <row r="11" spans="1:16" x14ac:dyDescent="0.3">
      <c r="B11" s="83" t="s">
        <v>37</v>
      </c>
      <c r="C11" s="66">
        <v>15000</v>
      </c>
      <c r="D11" s="79"/>
      <c r="E11"/>
      <c r="G11" s="126"/>
      <c r="H11" s="127">
        <f>SUM(H7:H10)</f>
        <v>321376</v>
      </c>
      <c r="L11" s="1"/>
    </row>
    <row r="12" spans="1:16" x14ac:dyDescent="0.3">
      <c r="B12" s="70" t="s">
        <v>7</v>
      </c>
      <c r="C12" s="69"/>
      <c r="D12" s="98"/>
      <c r="E12"/>
      <c r="G12" s="1" t="s">
        <v>99</v>
      </c>
      <c r="H12" s="32">
        <f>H11-C34-D34</f>
        <v>-148487.79999999999</v>
      </c>
      <c r="L12" s="1"/>
    </row>
    <row r="13" spans="1:16" x14ac:dyDescent="0.3">
      <c r="B13" s="65" t="s">
        <v>38</v>
      </c>
      <c r="C13" s="72"/>
      <c r="D13" s="79"/>
      <c r="E13"/>
      <c r="L13">
        <f>9*60*13.6</f>
        <v>7344</v>
      </c>
    </row>
    <row r="14" spans="1:16" x14ac:dyDescent="0.3">
      <c r="B14" s="70" t="s">
        <v>102</v>
      </c>
      <c r="C14" s="69"/>
      <c r="D14" s="98">
        <v>8526</v>
      </c>
      <c r="E14"/>
      <c r="G14" s="218" t="s">
        <v>429</v>
      </c>
      <c r="L14">
        <f>L13/150</f>
        <v>48.96</v>
      </c>
    </row>
    <row r="15" spans="1:16" x14ac:dyDescent="0.3">
      <c r="B15" s="65" t="s">
        <v>40</v>
      </c>
      <c r="C15" s="64"/>
      <c r="D15" s="79"/>
      <c r="E15"/>
      <c r="G15" s="203" t="s">
        <v>103</v>
      </c>
      <c r="H15" s="204"/>
    </row>
    <row r="16" spans="1:16" x14ac:dyDescent="0.3">
      <c r="B16" s="70" t="s">
        <v>48</v>
      </c>
      <c r="C16" s="69"/>
      <c r="D16" s="98"/>
      <c r="E16"/>
      <c r="G16" s="192" t="s">
        <v>59</v>
      </c>
      <c r="H16" s="196">
        <v>4500</v>
      </c>
    </row>
    <row r="17" spans="1:15" x14ac:dyDescent="0.3">
      <c r="B17" s="65" t="s">
        <v>49</v>
      </c>
      <c r="C17" s="72"/>
      <c r="D17" s="79">
        <v>49247.8</v>
      </c>
      <c r="E17"/>
      <c r="G17" s="192" t="s">
        <v>61</v>
      </c>
      <c r="H17" s="196">
        <v>3500</v>
      </c>
      <c r="M17" s="1" t="s">
        <v>154</v>
      </c>
    </row>
    <row r="18" spans="1:15" x14ac:dyDescent="0.3">
      <c r="B18" s="70" t="s">
        <v>157</v>
      </c>
      <c r="C18" s="69"/>
      <c r="D18" s="98">
        <v>2987</v>
      </c>
      <c r="E18"/>
      <c r="G18" s="192" t="s">
        <v>158</v>
      </c>
      <c r="H18" s="196">
        <v>2000</v>
      </c>
    </row>
    <row r="19" spans="1:15" x14ac:dyDescent="0.3">
      <c r="B19" s="65" t="s">
        <v>51</v>
      </c>
      <c r="C19" s="72"/>
      <c r="D19" s="79"/>
      <c r="E19"/>
      <c r="G19" s="192" t="s">
        <v>62</v>
      </c>
      <c r="H19" s="196">
        <v>1950</v>
      </c>
    </row>
    <row r="20" spans="1:15" x14ac:dyDescent="0.3">
      <c r="B20" s="70" t="s">
        <v>52</v>
      </c>
      <c r="C20" s="69"/>
      <c r="D20" s="98">
        <v>16240</v>
      </c>
      <c r="E20"/>
      <c r="G20" s="208" t="s">
        <v>142</v>
      </c>
      <c r="H20" s="196"/>
    </row>
    <row r="21" spans="1:15" x14ac:dyDescent="0.3">
      <c r="B21" s="65" t="s">
        <v>53</v>
      </c>
      <c r="C21" s="72"/>
      <c r="D21" s="79">
        <v>35178</v>
      </c>
      <c r="E21"/>
      <c r="G21" s="192" t="s">
        <v>19</v>
      </c>
      <c r="H21" s="196">
        <v>3000</v>
      </c>
    </row>
    <row r="22" spans="1:15" x14ac:dyDescent="0.3">
      <c r="B22" s="70" t="s">
        <v>107</v>
      </c>
      <c r="C22" s="69">
        <f>12392+834</f>
        <v>13226</v>
      </c>
      <c r="D22" s="98"/>
      <c r="E22"/>
      <c r="G22" s="192" t="s">
        <v>143</v>
      </c>
      <c r="H22" s="196"/>
    </row>
    <row r="23" spans="1:15" x14ac:dyDescent="0.3">
      <c r="B23" s="65" t="s">
        <v>55</v>
      </c>
      <c r="C23" s="64"/>
      <c r="D23" s="79">
        <v>28500</v>
      </c>
      <c r="E23"/>
      <c r="G23" s="192"/>
      <c r="H23" s="226">
        <f>SUM(H15:H22)</f>
        <v>14950</v>
      </c>
    </row>
    <row r="24" spans="1:15" x14ac:dyDescent="0.3">
      <c r="A24" s="1"/>
      <c r="B24" s="70" t="s">
        <v>55</v>
      </c>
      <c r="C24" s="69"/>
      <c r="D24" s="98">
        <v>25500</v>
      </c>
      <c r="E24"/>
      <c r="G24" s="192"/>
      <c r="H24" s="226">
        <v>9000</v>
      </c>
    </row>
    <row r="25" spans="1:15" s="1" customFormat="1" x14ac:dyDescent="0.3">
      <c r="B25" s="64" t="s">
        <v>108</v>
      </c>
      <c r="C25" s="64"/>
      <c r="D25" s="79"/>
      <c r="E25"/>
      <c r="F25" s="8"/>
      <c r="G25" s="195"/>
      <c r="H25" s="227">
        <f>H23-H24</f>
        <v>5950</v>
      </c>
      <c r="J25"/>
      <c r="L25"/>
      <c r="O25"/>
    </row>
    <row r="26" spans="1:15" s="1" customFormat="1" x14ac:dyDescent="0.3">
      <c r="B26" s="69" t="s">
        <v>159</v>
      </c>
      <c r="C26" s="69"/>
      <c r="D26" s="98">
        <v>10000</v>
      </c>
      <c r="E26"/>
      <c r="F26" s="8"/>
      <c r="G26"/>
      <c r="J26"/>
      <c r="L26"/>
      <c r="O26"/>
    </row>
    <row r="27" spans="1:15" s="1" customFormat="1" x14ac:dyDescent="0.3">
      <c r="B27" s="64" t="s">
        <v>114</v>
      </c>
      <c r="C27" s="72"/>
      <c r="D27" s="79"/>
      <c r="E27"/>
      <c r="F27" s="22"/>
      <c r="G27"/>
      <c r="J27"/>
      <c r="L27"/>
      <c r="O27"/>
    </row>
    <row r="28" spans="1:15" s="1" customFormat="1" x14ac:dyDescent="0.3">
      <c r="B28" s="69" t="s">
        <v>132</v>
      </c>
      <c r="C28" s="69"/>
      <c r="D28" s="98">
        <v>5007</v>
      </c>
      <c r="E28"/>
      <c r="F28" s="22"/>
      <c r="G28"/>
      <c r="J28"/>
      <c r="L28"/>
      <c r="O28"/>
    </row>
    <row r="29" spans="1:15" s="1" customFormat="1" x14ac:dyDescent="0.3">
      <c r="B29" s="64" t="s">
        <v>1</v>
      </c>
      <c r="C29" s="66">
        <v>30000</v>
      </c>
      <c r="D29" s="106">
        <v>10000</v>
      </c>
      <c r="E29"/>
      <c r="F29" s="22"/>
      <c r="G29"/>
      <c r="J29"/>
      <c r="L29"/>
      <c r="O29"/>
    </row>
    <row r="30" spans="1:15" s="1" customFormat="1" x14ac:dyDescent="0.3">
      <c r="B30" s="69" t="s">
        <v>150</v>
      </c>
      <c r="C30" s="69"/>
      <c r="D30" s="98">
        <v>47000</v>
      </c>
      <c r="E30"/>
      <c r="F30" s="22"/>
      <c r="G30"/>
      <c r="H30" s="3"/>
      <c r="J30"/>
      <c r="L30"/>
      <c r="O30"/>
    </row>
    <row r="31" spans="1:15" s="1" customFormat="1" x14ac:dyDescent="0.3">
      <c r="B31" s="64" t="s">
        <v>160</v>
      </c>
      <c r="C31" s="64"/>
      <c r="D31" s="86">
        <f>1450*6</f>
        <v>8700</v>
      </c>
      <c r="E31"/>
      <c r="F31" s="22"/>
      <c r="J31"/>
      <c r="L31"/>
      <c r="O31"/>
    </row>
    <row r="32" spans="1:15" s="1" customFormat="1" x14ac:dyDescent="0.3">
      <c r="B32" s="69" t="s">
        <v>161</v>
      </c>
      <c r="C32" s="69">
        <f>16.9*1.16*500</f>
        <v>9801.9999999999982</v>
      </c>
      <c r="D32" s="98">
        <f>E39</f>
        <v>0</v>
      </c>
      <c r="E32"/>
      <c r="F32" s="22"/>
      <c r="J32"/>
      <c r="L32"/>
      <c r="O32"/>
    </row>
    <row r="33" spans="1:15" s="1" customFormat="1" x14ac:dyDescent="0.3">
      <c r="B33" s="232" t="s">
        <v>429</v>
      </c>
      <c r="C33" s="228"/>
      <c r="D33" s="186"/>
      <c r="E33"/>
      <c r="F33" s="22"/>
      <c r="J33"/>
      <c r="L33"/>
      <c r="O33"/>
    </row>
    <row r="34" spans="1:15" s="1" customFormat="1" x14ac:dyDescent="0.3">
      <c r="A34"/>
      <c r="B34" s="70"/>
      <c r="C34" s="71">
        <f>SUM(C7:C32)</f>
        <v>202978</v>
      </c>
      <c r="D34" s="101">
        <f>SUM(D7:D33)</f>
        <v>266885.8</v>
      </c>
      <c r="E34" s="229"/>
      <c r="F34" s="8"/>
      <c r="J34"/>
      <c r="L34"/>
      <c r="O34"/>
    </row>
    <row r="35" spans="1:15" x14ac:dyDescent="0.3">
      <c r="B35" s="65"/>
      <c r="C35" s="88">
        <f>H9-C34</f>
        <v>478</v>
      </c>
      <c r="D35" s="79"/>
      <c r="E35" s="230"/>
    </row>
    <row r="36" spans="1:15" x14ac:dyDescent="0.3">
      <c r="B36" s="70"/>
      <c r="C36" s="69" t="s">
        <v>162</v>
      </c>
      <c r="D36" s="98" t="s">
        <v>163</v>
      </c>
      <c r="E36" s="230" t="s">
        <v>164</v>
      </c>
    </row>
    <row r="37" spans="1:15" x14ac:dyDescent="0.3">
      <c r="B37" s="192" t="s">
        <v>165</v>
      </c>
      <c r="C37" s="121">
        <f>15.75*1.16</f>
        <v>18.27</v>
      </c>
      <c r="D37" s="121">
        <v>9635</v>
      </c>
      <c r="E37" s="230"/>
      <c r="G37" s="3"/>
    </row>
    <row r="38" spans="1:15" x14ac:dyDescent="0.3">
      <c r="B38" s="192" t="s">
        <v>166</v>
      </c>
      <c r="C38" s="121">
        <f>16.9*1.16</f>
        <v>19.603999999999996</v>
      </c>
      <c r="D38" s="121">
        <v>24724.799999999999</v>
      </c>
      <c r="E38" s="230"/>
    </row>
    <row r="39" spans="1:15" x14ac:dyDescent="0.3">
      <c r="A39" s="1"/>
      <c r="B39" s="192"/>
      <c r="C39" s="121"/>
      <c r="D39" s="121">
        <v>32659.8</v>
      </c>
      <c r="E39" s="230"/>
    </row>
    <row r="40" spans="1:15" s="1" customFormat="1" x14ac:dyDescent="0.3">
      <c r="A40"/>
      <c r="B40" s="192"/>
      <c r="C40" s="121"/>
      <c r="D40" s="121">
        <f>D39/16</f>
        <v>2041.2375</v>
      </c>
      <c r="E40" s="230"/>
      <c r="F40" s="8"/>
      <c r="J40"/>
      <c r="L40"/>
    </row>
    <row r="41" spans="1:15" x14ac:dyDescent="0.3">
      <c r="A41" s="1"/>
      <c r="B41" s="195"/>
      <c r="C41" s="191"/>
      <c r="D41" s="191">
        <f>D40/30</f>
        <v>68.041250000000005</v>
      </c>
      <c r="E41" s="231"/>
    </row>
    <row r="42" spans="1:15" s="1" customFormat="1" x14ac:dyDescent="0.3">
      <c r="B42"/>
      <c r="F42" s="8"/>
      <c r="J42"/>
      <c r="L42"/>
    </row>
    <row r="43" spans="1:15" s="1" customFormat="1" x14ac:dyDescent="0.3">
      <c r="B43"/>
      <c r="F43" s="8"/>
      <c r="J43"/>
      <c r="L43"/>
    </row>
    <row r="44" spans="1:15" s="1" customFormat="1" x14ac:dyDescent="0.3">
      <c r="A44"/>
      <c r="B44"/>
      <c r="F44" s="8"/>
      <c r="J44"/>
      <c r="L44"/>
    </row>
  </sheetData>
  <mergeCells count="1">
    <mergeCell ref="O1:P1"/>
  </mergeCells>
  <conditionalFormatting sqref="P6">
    <cfRule type="cellIs" dxfId="35" priority="1" operator="lessThan">
      <formula>0</formula>
    </cfRule>
  </conditionalFormatting>
  <conditionalFormatting sqref="P6">
    <cfRule type="cellIs" dxfId="3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A63B-4153-45FD-B2D8-7F36ACA65585}">
  <dimension ref="A1:P44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5.8867187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6.5546875" style="8" customWidth="1"/>
    <col min="7" max="7" width="17.109375" style="1" bestFit="1" customWidth="1"/>
    <col min="8" max="8" width="14.6640625" style="1" customWidth="1"/>
    <col min="9" max="9" width="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447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C34</f>
        <v>228558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D34</f>
        <v>208253.8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249424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167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O6" s="271" t="s">
        <v>444</v>
      </c>
      <c r="P6" s="272">
        <f>P4-P5-P2</f>
        <v>20866</v>
      </c>
    </row>
    <row r="7" spans="1:16" x14ac:dyDescent="0.3">
      <c r="B7" s="65" t="s">
        <v>30</v>
      </c>
      <c r="C7" s="66">
        <v>110000</v>
      </c>
      <c r="D7" s="79"/>
      <c r="E7"/>
      <c r="G7" s="123" t="s">
        <v>153</v>
      </c>
      <c r="H7" s="125">
        <v>40800</v>
      </c>
      <c r="L7" s="1"/>
    </row>
    <row r="8" spans="1:16" x14ac:dyDescent="0.3">
      <c r="B8" s="70" t="s">
        <v>41</v>
      </c>
      <c r="C8" s="69">
        <f>H23</f>
        <v>19950</v>
      </c>
      <c r="D8" s="98"/>
      <c r="E8"/>
      <c r="G8" s="123" t="s">
        <v>168</v>
      </c>
      <c r="H8" s="125">
        <v>5168</v>
      </c>
      <c r="L8" s="1"/>
    </row>
    <row r="9" spans="1:16" x14ac:dyDescent="0.3">
      <c r="B9" s="65" t="s">
        <v>2</v>
      </c>
      <c r="C9" s="66">
        <v>29000</v>
      </c>
      <c r="D9" s="79"/>
      <c r="E9"/>
      <c r="G9" s="123" t="s">
        <v>169</v>
      </c>
      <c r="H9" s="125">
        <v>203456</v>
      </c>
      <c r="L9" s="1"/>
    </row>
    <row r="10" spans="1:16" x14ac:dyDescent="0.3">
      <c r="B10" s="70" t="s">
        <v>73</v>
      </c>
      <c r="C10" s="69"/>
      <c r="D10" s="98"/>
      <c r="E10"/>
      <c r="G10" s="123"/>
      <c r="H10" s="125"/>
      <c r="L10" s="1"/>
    </row>
    <row r="11" spans="1:16" x14ac:dyDescent="0.3">
      <c r="B11" s="83" t="s">
        <v>37</v>
      </c>
      <c r="C11" s="89">
        <v>20000</v>
      </c>
      <c r="D11" s="79"/>
      <c r="E11"/>
      <c r="G11" s="126"/>
      <c r="H11" s="127">
        <f>SUM(H7:H10)</f>
        <v>249424</v>
      </c>
      <c r="L11" s="1"/>
    </row>
    <row r="12" spans="1:16" x14ac:dyDescent="0.3">
      <c r="B12" s="70" t="s">
        <v>7</v>
      </c>
      <c r="C12" s="69"/>
      <c r="D12" s="98"/>
      <c r="E12"/>
      <c r="G12" s="1" t="s">
        <v>99</v>
      </c>
      <c r="H12" s="32">
        <f>H11-C34-D34</f>
        <v>-187387.8</v>
      </c>
      <c r="L12" s="1"/>
    </row>
    <row r="13" spans="1:16" x14ac:dyDescent="0.3">
      <c r="B13" s="65" t="s">
        <v>38</v>
      </c>
      <c r="C13" s="72"/>
      <c r="D13" s="79"/>
      <c r="E13"/>
      <c r="L13">
        <f>9*60*13.6</f>
        <v>7344</v>
      </c>
    </row>
    <row r="14" spans="1:16" x14ac:dyDescent="0.3">
      <c r="B14" s="70" t="s">
        <v>102</v>
      </c>
      <c r="C14" s="69"/>
      <c r="D14" s="98">
        <v>8526</v>
      </c>
      <c r="E14"/>
      <c r="G14" s="218" t="s">
        <v>429</v>
      </c>
      <c r="L14">
        <f>L13/150</f>
        <v>48.96</v>
      </c>
    </row>
    <row r="15" spans="1:16" x14ac:dyDescent="0.3">
      <c r="B15" s="65" t="s">
        <v>40</v>
      </c>
      <c r="C15" s="64"/>
      <c r="D15" s="79"/>
      <c r="E15"/>
      <c r="G15" s="203" t="s">
        <v>103</v>
      </c>
      <c r="H15" s="204">
        <v>4000</v>
      </c>
    </row>
    <row r="16" spans="1:16" x14ac:dyDescent="0.3">
      <c r="B16" s="70" t="s">
        <v>48</v>
      </c>
      <c r="C16" s="69"/>
      <c r="D16" s="98"/>
      <c r="E16"/>
      <c r="G16" s="192" t="s">
        <v>59</v>
      </c>
      <c r="H16" s="196">
        <v>4000</v>
      </c>
    </row>
    <row r="17" spans="1:15" x14ac:dyDescent="0.3">
      <c r="B17" s="65" t="s">
        <v>49</v>
      </c>
      <c r="C17" s="72"/>
      <c r="D17" s="79">
        <v>49247.8</v>
      </c>
      <c r="E17"/>
      <c r="G17" s="192" t="s">
        <v>61</v>
      </c>
      <c r="H17" s="196">
        <v>3000</v>
      </c>
      <c r="M17" s="1" t="s">
        <v>154</v>
      </c>
    </row>
    <row r="18" spans="1:15" x14ac:dyDescent="0.3">
      <c r="B18" s="70" t="s">
        <v>157</v>
      </c>
      <c r="C18" s="69"/>
      <c r="D18" s="98"/>
      <c r="E18"/>
      <c r="G18" s="192" t="s">
        <v>158</v>
      </c>
      <c r="H18" s="196"/>
    </row>
    <row r="19" spans="1:15" x14ac:dyDescent="0.3">
      <c r="B19" s="65" t="s">
        <v>51</v>
      </c>
      <c r="C19" s="72"/>
      <c r="D19" s="79"/>
      <c r="E19"/>
      <c r="G19" s="192" t="s">
        <v>62</v>
      </c>
      <c r="H19" s="196">
        <v>1950</v>
      </c>
    </row>
    <row r="20" spans="1:15" x14ac:dyDescent="0.3">
      <c r="B20" s="70" t="s">
        <v>52</v>
      </c>
      <c r="C20" s="69"/>
      <c r="D20" s="98"/>
      <c r="E20"/>
      <c r="G20" s="192" t="s">
        <v>19</v>
      </c>
      <c r="H20" s="196">
        <v>3500</v>
      </c>
    </row>
    <row r="21" spans="1:15" x14ac:dyDescent="0.3">
      <c r="B21" s="65" t="s">
        <v>53</v>
      </c>
      <c r="C21" s="72"/>
      <c r="D21" s="79">
        <v>35178</v>
      </c>
      <c r="E21"/>
      <c r="G21" s="195" t="s">
        <v>143</v>
      </c>
      <c r="H21" s="197">
        <v>3500</v>
      </c>
    </row>
    <row r="22" spans="1:15" x14ac:dyDescent="0.3">
      <c r="B22" s="70" t="s">
        <v>107</v>
      </c>
      <c r="C22" s="69">
        <f>4608+(20000*0.05)</f>
        <v>5608</v>
      </c>
      <c r="D22" s="98"/>
      <c r="E22"/>
      <c r="G22"/>
    </row>
    <row r="23" spans="1:15" x14ac:dyDescent="0.3">
      <c r="B23" s="65" t="s">
        <v>55</v>
      </c>
      <c r="C23" s="64"/>
      <c r="D23" s="79">
        <v>28500</v>
      </c>
      <c r="E23"/>
      <c r="G23"/>
      <c r="H23" s="3">
        <f>SUM(H15:H22)</f>
        <v>19950</v>
      </c>
    </row>
    <row r="24" spans="1:15" x14ac:dyDescent="0.3">
      <c r="A24" s="1"/>
      <c r="B24" s="70" t="s">
        <v>55</v>
      </c>
      <c r="C24" s="69"/>
      <c r="D24" s="98"/>
      <c r="E24"/>
      <c r="G24"/>
    </row>
    <row r="25" spans="1:15" s="1" customFormat="1" x14ac:dyDescent="0.3">
      <c r="B25" s="64" t="s">
        <v>108</v>
      </c>
      <c r="C25" s="64"/>
      <c r="D25" s="79"/>
      <c r="E25"/>
      <c r="F25" s="8"/>
      <c r="G25"/>
      <c r="J25"/>
      <c r="L25"/>
      <c r="O25"/>
    </row>
    <row r="26" spans="1:15" s="1" customFormat="1" x14ac:dyDescent="0.3">
      <c r="B26" s="69" t="s">
        <v>170</v>
      </c>
      <c r="C26" s="69">
        <v>44000</v>
      </c>
      <c r="D26" s="98"/>
      <c r="E26"/>
      <c r="F26" s="8"/>
      <c r="G26"/>
      <c r="J26"/>
      <c r="L26"/>
      <c r="O26"/>
    </row>
    <row r="27" spans="1:15" s="1" customFormat="1" x14ac:dyDescent="0.3">
      <c r="B27" s="64" t="s">
        <v>114</v>
      </c>
      <c r="C27" s="72"/>
      <c r="D27" s="79"/>
      <c r="E27"/>
      <c r="F27" s="22"/>
      <c r="G27"/>
      <c r="J27"/>
      <c r="L27"/>
      <c r="O27"/>
    </row>
    <row r="28" spans="1:15" s="1" customFormat="1" x14ac:dyDescent="0.3">
      <c r="B28" s="69" t="s">
        <v>132</v>
      </c>
      <c r="C28" s="69"/>
      <c r="D28" s="98"/>
      <c r="E28"/>
      <c r="F28" s="22"/>
      <c r="G28"/>
      <c r="J28"/>
      <c r="L28"/>
      <c r="O28"/>
    </row>
    <row r="29" spans="1:15" s="1" customFormat="1" x14ac:dyDescent="0.3">
      <c r="B29" s="64" t="s">
        <v>1</v>
      </c>
      <c r="C29" s="64"/>
      <c r="D29" s="99">
        <v>30000</v>
      </c>
      <c r="E29"/>
      <c r="F29" s="22"/>
      <c r="G29"/>
      <c r="J29"/>
      <c r="L29"/>
      <c r="O29"/>
    </row>
    <row r="30" spans="1:15" s="1" customFormat="1" x14ac:dyDescent="0.3">
      <c r="B30" s="69" t="s">
        <v>150</v>
      </c>
      <c r="C30" s="69"/>
      <c r="D30" s="98">
        <v>47000</v>
      </c>
      <c r="E30"/>
      <c r="F30" s="22"/>
      <c r="G30"/>
      <c r="H30" s="3"/>
      <c r="J30"/>
      <c r="L30"/>
      <c r="O30"/>
    </row>
    <row r="31" spans="1:15" s="1" customFormat="1" x14ac:dyDescent="0.3">
      <c r="B31" s="64" t="s">
        <v>160</v>
      </c>
      <c r="C31" s="64"/>
      <c r="D31" s="79"/>
      <c r="E31"/>
      <c r="F31" s="22"/>
      <c r="J31"/>
      <c r="L31"/>
      <c r="O31"/>
    </row>
    <row r="32" spans="1:15" s="1" customFormat="1" x14ac:dyDescent="0.3">
      <c r="B32" s="69" t="s">
        <v>161</v>
      </c>
      <c r="C32" s="69"/>
      <c r="D32" s="98">
        <f>16.9*1.16*500</f>
        <v>9801.9999999999982</v>
      </c>
      <c r="E32"/>
      <c r="F32" s="22"/>
      <c r="J32"/>
      <c r="L32"/>
      <c r="O32"/>
    </row>
    <row r="33" spans="1:15" s="1" customFormat="1" x14ac:dyDescent="0.3">
      <c r="B33" s="64"/>
      <c r="C33" s="72"/>
      <c r="D33" s="79"/>
      <c r="E33"/>
      <c r="F33" s="22"/>
      <c r="J33"/>
      <c r="L33"/>
      <c r="O33"/>
    </row>
    <row r="34" spans="1:15" s="1" customFormat="1" x14ac:dyDescent="0.3">
      <c r="A34"/>
      <c r="B34"/>
      <c r="C34" s="15">
        <f>SUM(C7:C32)</f>
        <v>228558</v>
      </c>
      <c r="D34" s="31">
        <f>SUM(D7:D33)</f>
        <v>208253.8</v>
      </c>
      <c r="E34"/>
      <c r="F34" s="8"/>
      <c r="J34"/>
      <c r="L34"/>
      <c r="O34"/>
    </row>
    <row r="35" spans="1:15" x14ac:dyDescent="0.3">
      <c r="C35" s="34"/>
      <c r="E35"/>
    </row>
    <row r="36" spans="1:15" x14ac:dyDescent="0.3">
      <c r="C36" s="34"/>
      <c r="E36"/>
    </row>
    <row r="37" spans="1:15" x14ac:dyDescent="0.3">
      <c r="C37" s="34">
        <v>112000</v>
      </c>
      <c r="E37"/>
    </row>
    <row r="38" spans="1:15" x14ac:dyDescent="0.3">
      <c r="C38" s="34">
        <f>C8+C9+C11+C26</f>
        <v>112950</v>
      </c>
      <c r="E38"/>
    </row>
    <row r="39" spans="1:15" x14ac:dyDescent="0.3">
      <c r="A39" s="1"/>
      <c r="C39" s="34"/>
    </row>
    <row r="40" spans="1:15" s="1" customFormat="1" x14ac:dyDescent="0.3">
      <c r="A40"/>
      <c r="B40"/>
      <c r="C40" s="34"/>
      <c r="F40" s="8"/>
      <c r="J40"/>
      <c r="L40"/>
    </row>
    <row r="41" spans="1:15" x14ac:dyDescent="0.3">
      <c r="A41" s="1"/>
      <c r="C41" s="34"/>
    </row>
    <row r="42" spans="1:15" s="1" customFormat="1" x14ac:dyDescent="0.3">
      <c r="B42"/>
      <c r="F42" s="8"/>
      <c r="J42"/>
      <c r="L42"/>
    </row>
    <row r="43" spans="1:15" s="1" customFormat="1" x14ac:dyDescent="0.3">
      <c r="B43"/>
      <c r="F43" s="8"/>
      <c r="J43"/>
      <c r="L43"/>
    </row>
    <row r="44" spans="1:15" s="1" customFormat="1" x14ac:dyDescent="0.3">
      <c r="A44"/>
      <c r="B44"/>
      <c r="F44" s="8"/>
      <c r="J44"/>
      <c r="L44"/>
    </row>
  </sheetData>
  <mergeCells count="1">
    <mergeCell ref="O1:P1"/>
  </mergeCells>
  <conditionalFormatting sqref="P6">
    <cfRule type="cellIs" dxfId="33" priority="1" operator="lessThan">
      <formula>0</formula>
    </cfRule>
  </conditionalFormatting>
  <conditionalFormatting sqref="P6">
    <cfRule type="cellIs" dxfId="3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C9CF-EAA9-4643-BB48-E9C3862F6AB6}">
  <dimension ref="A1:P44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4.664062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447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C35</f>
        <v>210551.15000000002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D35</f>
        <v>238665.44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300680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171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O6" s="271" t="s">
        <v>444</v>
      </c>
      <c r="P6" s="272">
        <f>P4-P5-P2</f>
        <v>90128.849999999977</v>
      </c>
    </row>
    <row r="7" spans="1:16" x14ac:dyDescent="0.3">
      <c r="B7" s="65" t="s">
        <v>30</v>
      </c>
      <c r="C7" s="66">
        <v>98000</v>
      </c>
      <c r="D7" s="99">
        <v>12500</v>
      </c>
      <c r="E7"/>
      <c r="G7" s="123" t="s">
        <v>172</v>
      </c>
      <c r="H7" s="125">
        <v>190680</v>
      </c>
      <c r="L7" s="1"/>
    </row>
    <row r="8" spans="1:16" x14ac:dyDescent="0.3">
      <c r="B8" s="70" t="s">
        <v>41</v>
      </c>
      <c r="C8" s="69">
        <f>H23</f>
        <v>9950</v>
      </c>
      <c r="D8" s="98"/>
      <c r="E8"/>
      <c r="G8" s="123" t="s">
        <v>173</v>
      </c>
      <c r="H8" s="125">
        <v>30000</v>
      </c>
      <c r="L8" s="1"/>
    </row>
    <row r="9" spans="1:16" x14ac:dyDescent="0.3">
      <c r="B9" s="65" t="s">
        <v>2</v>
      </c>
      <c r="C9" s="66">
        <v>27783.47</v>
      </c>
      <c r="D9" s="79"/>
      <c r="E9"/>
      <c r="G9" s="123" t="s">
        <v>174</v>
      </c>
      <c r="H9" s="125">
        <v>80000</v>
      </c>
      <c r="L9" s="1"/>
    </row>
    <row r="10" spans="1:16" x14ac:dyDescent="0.3">
      <c r="B10" s="70" t="s">
        <v>2</v>
      </c>
      <c r="C10" s="69"/>
      <c r="D10" s="98">
        <v>19105</v>
      </c>
      <c r="E10"/>
      <c r="G10" s="123"/>
      <c r="H10" s="125"/>
      <c r="L10" s="1"/>
    </row>
    <row r="11" spans="1:16" x14ac:dyDescent="0.3">
      <c r="B11" s="65" t="s">
        <v>73</v>
      </c>
      <c r="C11" s="66">
        <v>3940.45</v>
      </c>
      <c r="D11" s="79"/>
      <c r="E11"/>
      <c r="G11" s="126"/>
      <c r="H11" s="127">
        <f>SUM(H7:H10)</f>
        <v>300680</v>
      </c>
      <c r="L11" s="1"/>
    </row>
    <row r="12" spans="1:16" x14ac:dyDescent="0.3">
      <c r="B12" s="70" t="s">
        <v>37</v>
      </c>
      <c r="C12" s="69"/>
      <c r="D12" s="98">
        <v>19999.8</v>
      </c>
      <c r="E12"/>
      <c r="G12" s="1" t="s">
        <v>99</v>
      </c>
      <c r="H12" s="32">
        <f>H11-C35-D35</f>
        <v>-148536.59000000003</v>
      </c>
      <c r="L12" s="1"/>
    </row>
    <row r="13" spans="1:16" x14ac:dyDescent="0.3">
      <c r="B13" s="65" t="s">
        <v>7</v>
      </c>
      <c r="C13" s="72"/>
      <c r="D13" s="79"/>
      <c r="E13"/>
      <c r="L13">
        <f>9*60*13.6</f>
        <v>7344</v>
      </c>
    </row>
    <row r="14" spans="1:16" x14ac:dyDescent="0.3">
      <c r="B14" s="70" t="s">
        <v>38</v>
      </c>
      <c r="C14" s="69"/>
      <c r="D14" s="98"/>
      <c r="E14"/>
      <c r="G14" s="218" t="s">
        <v>429</v>
      </c>
      <c r="L14">
        <f>L13/150</f>
        <v>48.96</v>
      </c>
    </row>
    <row r="15" spans="1:16" x14ac:dyDescent="0.3">
      <c r="B15" s="65" t="s">
        <v>102</v>
      </c>
      <c r="C15" s="64"/>
      <c r="D15" s="79">
        <v>8526</v>
      </c>
      <c r="E15"/>
      <c r="G15" s="203" t="s">
        <v>103</v>
      </c>
      <c r="H15" s="204"/>
    </row>
    <row r="16" spans="1:16" x14ac:dyDescent="0.3">
      <c r="B16" s="70" t="s">
        <v>40</v>
      </c>
      <c r="C16" s="69"/>
      <c r="D16" s="98"/>
      <c r="E16"/>
      <c r="G16" s="192" t="s">
        <v>59</v>
      </c>
      <c r="H16" s="196">
        <v>4500</v>
      </c>
    </row>
    <row r="17" spans="1:15" x14ac:dyDescent="0.3">
      <c r="B17" s="65" t="s">
        <v>48</v>
      </c>
      <c r="C17" s="72"/>
      <c r="D17" s="79"/>
      <c r="E17"/>
      <c r="G17" s="192" t="s">
        <v>61</v>
      </c>
      <c r="H17" s="196">
        <v>3500</v>
      </c>
      <c r="M17" s="1" t="s">
        <v>154</v>
      </c>
    </row>
    <row r="18" spans="1:15" x14ac:dyDescent="0.3">
      <c r="B18" s="70" t="s">
        <v>49</v>
      </c>
      <c r="C18" s="69"/>
      <c r="D18" s="98">
        <v>49247.8</v>
      </c>
      <c r="E18"/>
      <c r="G18" s="192" t="s">
        <v>158</v>
      </c>
      <c r="H18" s="196"/>
    </row>
    <row r="19" spans="1:15" x14ac:dyDescent="0.3">
      <c r="B19" s="65" t="s">
        <v>51</v>
      </c>
      <c r="C19" s="72"/>
      <c r="D19" s="79"/>
      <c r="E19"/>
      <c r="G19" s="192" t="s">
        <v>62</v>
      </c>
      <c r="H19" s="196">
        <v>1950</v>
      </c>
    </row>
    <row r="20" spans="1:15" x14ac:dyDescent="0.3">
      <c r="B20" s="70" t="s">
        <v>52</v>
      </c>
      <c r="C20" s="69"/>
      <c r="D20" s="98"/>
      <c r="E20"/>
      <c r="G20" s="192" t="s">
        <v>19</v>
      </c>
      <c r="H20" s="196"/>
    </row>
    <row r="21" spans="1:15" x14ac:dyDescent="0.3">
      <c r="B21" s="65" t="s">
        <v>53</v>
      </c>
      <c r="C21" s="64"/>
      <c r="D21" s="99">
        <v>35178</v>
      </c>
      <c r="E21"/>
      <c r="G21" s="195" t="s">
        <v>143</v>
      </c>
      <c r="H21" s="197"/>
    </row>
    <row r="22" spans="1:15" x14ac:dyDescent="0.3">
      <c r="B22" s="70" t="s">
        <v>107</v>
      </c>
      <c r="C22" s="69">
        <f>(C7+D8)*0.04</f>
        <v>3920</v>
      </c>
      <c r="D22" s="98"/>
      <c r="E22"/>
      <c r="G22"/>
    </row>
    <row r="23" spans="1:15" x14ac:dyDescent="0.3">
      <c r="B23" s="65" t="s">
        <v>55</v>
      </c>
      <c r="C23" s="66">
        <v>28500</v>
      </c>
      <c r="D23" s="79"/>
      <c r="E23"/>
      <c r="G23"/>
      <c r="H23" s="3">
        <f>SUM(H15:H22)</f>
        <v>9950</v>
      </c>
    </row>
    <row r="24" spans="1:15" x14ac:dyDescent="0.3">
      <c r="A24" s="1"/>
      <c r="B24" s="70" t="s">
        <v>175</v>
      </c>
      <c r="C24" s="69">
        <v>2728.32</v>
      </c>
      <c r="D24" s="98"/>
      <c r="E24"/>
      <c r="G24"/>
    </row>
    <row r="25" spans="1:15" s="1" customFormat="1" x14ac:dyDescent="0.3">
      <c r="B25" s="64" t="s">
        <v>108</v>
      </c>
      <c r="C25" s="64"/>
      <c r="D25" s="79"/>
      <c r="E25"/>
      <c r="F25" s="8"/>
      <c r="G25"/>
      <c r="J25"/>
      <c r="L25"/>
      <c r="O25"/>
    </row>
    <row r="26" spans="1:15" s="1" customFormat="1" x14ac:dyDescent="0.3">
      <c r="B26" s="69" t="s">
        <v>170</v>
      </c>
      <c r="C26" s="69">
        <v>33328.910000000003</v>
      </c>
      <c r="D26" s="98">
        <v>9280</v>
      </c>
      <c r="E26"/>
      <c r="F26" s="8"/>
      <c r="G26"/>
      <c r="J26"/>
      <c r="L26"/>
      <c r="O26"/>
    </row>
    <row r="27" spans="1:15" s="1" customFormat="1" x14ac:dyDescent="0.3">
      <c r="B27" s="64" t="s">
        <v>114</v>
      </c>
      <c r="C27" s="72"/>
      <c r="D27" s="79"/>
      <c r="E27"/>
      <c r="F27" s="8"/>
      <c r="G27"/>
      <c r="J27"/>
      <c r="L27"/>
      <c r="O27"/>
    </row>
    <row r="28" spans="1:15" s="1" customFormat="1" x14ac:dyDescent="0.3">
      <c r="B28" s="69" t="s">
        <v>132</v>
      </c>
      <c r="C28" s="69"/>
      <c r="D28" s="98"/>
      <c r="E28"/>
      <c r="F28" s="22"/>
      <c r="G28"/>
      <c r="J28"/>
      <c r="L28"/>
      <c r="O28"/>
    </row>
    <row r="29" spans="1:15" s="1" customFormat="1" x14ac:dyDescent="0.3">
      <c r="B29" s="64" t="s">
        <v>1</v>
      </c>
      <c r="C29" s="64"/>
      <c r="D29" s="79">
        <v>30000</v>
      </c>
      <c r="E29"/>
      <c r="F29" s="22"/>
      <c r="G29"/>
      <c r="J29"/>
      <c r="L29"/>
      <c r="O29"/>
    </row>
    <row r="30" spans="1:15" s="1" customFormat="1" x14ac:dyDescent="0.3">
      <c r="B30" s="69" t="s">
        <v>150</v>
      </c>
      <c r="C30" s="69"/>
      <c r="D30" s="98">
        <v>47000</v>
      </c>
      <c r="E30"/>
      <c r="F30" s="22"/>
      <c r="G30"/>
      <c r="H30" s="3"/>
      <c r="J30"/>
      <c r="L30"/>
      <c r="O30"/>
    </row>
    <row r="31" spans="1:15" s="1" customFormat="1" x14ac:dyDescent="0.3">
      <c r="B31" s="64" t="s">
        <v>160</v>
      </c>
      <c r="C31" s="64"/>
      <c r="D31" s="79">
        <f>1450*4</f>
        <v>5800</v>
      </c>
      <c r="E31"/>
      <c r="F31" s="22"/>
      <c r="J31"/>
      <c r="L31"/>
      <c r="O31"/>
    </row>
    <row r="32" spans="1:15" s="1" customFormat="1" x14ac:dyDescent="0.3">
      <c r="B32" s="69" t="s">
        <v>161</v>
      </c>
      <c r="C32" s="69"/>
      <c r="D32" s="98"/>
      <c r="E32"/>
      <c r="F32" s="22"/>
      <c r="J32"/>
      <c r="L32"/>
      <c r="O32"/>
    </row>
    <row r="33" spans="2:15" s="1" customFormat="1" x14ac:dyDescent="0.3">
      <c r="B33" s="64" t="s">
        <v>176</v>
      </c>
      <c r="C33" s="66">
        <f>6*400</f>
        <v>2400</v>
      </c>
      <c r="D33" s="79"/>
      <c r="E33"/>
      <c r="F33" s="22"/>
      <c r="J33"/>
      <c r="L33"/>
      <c r="O33"/>
    </row>
    <row r="34" spans="2:15" s="1" customFormat="1" x14ac:dyDescent="0.3">
      <c r="B34" s="69" t="s">
        <v>177</v>
      </c>
      <c r="C34" s="69"/>
      <c r="D34" s="98">
        <v>2028.84</v>
      </c>
      <c r="E34"/>
      <c r="F34" s="22"/>
      <c r="J34"/>
      <c r="L34"/>
      <c r="O34"/>
    </row>
    <row r="35" spans="2:15" x14ac:dyDescent="0.3">
      <c r="C35" s="15">
        <f>SUM(C7:C34)</f>
        <v>210551.15000000002</v>
      </c>
      <c r="D35" s="31">
        <f>SUM(D7:D34)</f>
        <v>238665.44</v>
      </c>
      <c r="E35"/>
    </row>
    <row r="36" spans="2:15" x14ac:dyDescent="0.3">
      <c r="C36" s="34"/>
      <c r="E36"/>
    </row>
    <row r="37" spans="2:15" x14ac:dyDescent="0.3">
      <c r="C37" s="34"/>
      <c r="E37"/>
    </row>
    <row r="38" spans="2:15" x14ac:dyDescent="0.3">
      <c r="C38" s="34">
        <v>112000</v>
      </c>
      <c r="E38"/>
    </row>
    <row r="39" spans="2:15" x14ac:dyDescent="0.3">
      <c r="C39" s="34">
        <f>D8+C9+E12+C26</f>
        <v>61112.380000000005</v>
      </c>
      <c r="E39"/>
    </row>
    <row r="40" spans="2:15" s="1" customFormat="1" x14ac:dyDescent="0.3">
      <c r="B40"/>
      <c r="C40" s="34"/>
      <c r="F40" s="8"/>
      <c r="J40"/>
      <c r="L40"/>
    </row>
    <row r="41" spans="2:15" x14ac:dyDescent="0.3">
      <c r="C41" s="34"/>
    </row>
    <row r="42" spans="2:15" s="1" customFormat="1" x14ac:dyDescent="0.3">
      <c r="B42"/>
      <c r="C42" s="34"/>
      <c r="F42" s="8"/>
      <c r="J42"/>
      <c r="L42"/>
    </row>
    <row r="43" spans="2:15" s="1" customFormat="1" x14ac:dyDescent="0.3">
      <c r="B43"/>
      <c r="F43" s="8"/>
      <c r="J43"/>
      <c r="L43"/>
    </row>
    <row r="44" spans="2:15" s="1" customFormat="1" x14ac:dyDescent="0.3">
      <c r="B44"/>
      <c r="F44" s="8"/>
      <c r="J44"/>
      <c r="L44"/>
    </row>
  </sheetData>
  <mergeCells count="1">
    <mergeCell ref="O1:P1"/>
  </mergeCells>
  <conditionalFormatting sqref="P6">
    <cfRule type="cellIs" dxfId="31" priority="1" operator="lessThan">
      <formula>0</formula>
    </cfRule>
  </conditionalFormatting>
  <conditionalFormatting sqref="P6">
    <cfRule type="cellIs" dxfId="3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BFF3-1814-40C0-A593-CAC6498AB9AF}">
  <dimension ref="A1:P45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4.6640625" style="1" customWidth="1"/>
    <col min="11" max="11" width="11.5546875" style="1"/>
    <col min="12" max="12" width="21.88671875" customWidth="1"/>
    <col min="13" max="14" width="11.5546875" style="1"/>
    <col min="15" max="15" width="22.21875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/>
      <c r="N1"/>
      <c r="O1" s="269" t="s">
        <v>447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/>
      <c r="N2"/>
      <c r="O2" s="85" t="s">
        <v>425</v>
      </c>
      <c r="P2" s="270">
        <f>C36</f>
        <v>205337.81999999998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/>
      <c r="N3"/>
      <c r="O3" s="85" t="s">
        <v>269</v>
      </c>
      <c r="P3" s="270">
        <f>D36</f>
        <v>376773.8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/>
      <c r="N4"/>
      <c r="O4" s="85" t="s">
        <v>423</v>
      </c>
      <c r="P4" s="270">
        <f>H11</f>
        <v>437300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/>
      <c r="N5"/>
      <c r="O5" s="85" t="s">
        <v>424</v>
      </c>
      <c r="P5" s="270">
        <v>0</v>
      </c>
    </row>
    <row r="6" spans="1:16" ht="17.399999999999999" x14ac:dyDescent="0.35">
      <c r="B6" s="68" t="s">
        <v>178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O6" s="271" t="s">
        <v>444</v>
      </c>
      <c r="P6" s="272">
        <f>P4-P5-P2</f>
        <v>231962.18000000002</v>
      </c>
    </row>
    <row r="7" spans="1:16" x14ac:dyDescent="0.3">
      <c r="B7" s="65" t="s">
        <v>30</v>
      </c>
      <c r="C7" s="66">
        <v>110000</v>
      </c>
      <c r="D7" s="86">
        <v>110000</v>
      </c>
      <c r="E7"/>
      <c r="G7" s="123" t="s">
        <v>179</v>
      </c>
      <c r="H7" s="125">
        <v>198200</v>
      </c>
      <c r="L7" s="1"/>
    </row>
    <row r="8" spans="1:16" x14ac:dyDescent="0.3">
      <c r="B8" s="70" t="s">
        <v>41</v>
      </c>
      <c r="C8" s="69">
        <f>H23</f>
        <v>18750</v>
      </c>
      <c r="D8" s="98">
        <v>20000</v>
      </c>
      <c r="E8"/>
      <c r="G8" s="123" t="s">
        <v>180</v>
      </c>
      <c r="H8" s="125">
        <v>39100</v>
      </c>
      <c r="L8" s="1"/>
    </row>
    <row r="9" spans="1:16" x14ac:dyDescent="0.3">
      <c r="B9" s="65" t="s">
        <v>2</v>
      </c>
      <c r="C9" s="64"/>
      <c r="D9" s="86">
        <v>30000</v>
      </c>
      <c r="E9"/>
      <c r="G9" s="123" t="s">
        <v>172</v>
      </c>
      <c r="H9" s="125">
        <v>200000</v>
      </c>
      <c r="L9" s="1"/>
    </row>
    <row r="10" spans="1:16" x14ac:dyDescent="0.3">
      <c r="B10" s="70" t="s">
        <v>2</v>
      </c>
      <c r="C10" s="69"/>
      <c r="D10" s="98"/>
      <c r="E10"/>
      <c r="G10" s="123"/>
      <c r="H10" s="125"/>
      <c r="L10" s="1"/>
    </row>
    <row r="11" spans="1:16" x14ac:dyDescent="0.3">
      <c r="B11" s="65" t="s">
        <v>73</v>
      </c>
      <c r="C11" s="66">
        <v>5916</v>
      </c>
      <c r="D11" s="79"/>
      <c r="E11"/>
      <c r="G11" s="126"/>
      <c r="H11" s="127">
        <f>SUM(H7:H10)</f>
        <v>437300</v>
      </c>
      <c r="L11" s="1"/>
    </row>
    <row r="12" spans="1:16" x14ac:dyDescent="0.3">
      <c r="B12" s="70" t="s">
        <v>37</v>
      </c>
      <c r="C12" s="69">
        <v>19999.8</v>
      </c>
      <c r="D12" s="98">
        <v>10000</v>
      </c>
      <c r="E12"/>
      <c r="G12" s="1" t="s">
        <v>99</v>
      </c>
      <c r="H12" s="32">
        <f>H11-C36-D36</f>
        <v>-144811.61999999997</v>
      </c>
      <c r="L12" s="1"/>
    </row>
    <row r="13" spans="1:16" x14ac:dyDescent="0.3">
      <c r="B13" s="65" t="s">
        <v>7</v>
      </c>
      <c r="C13" s="64"/>
      <c r="D13" s="79"/>
      <c r="E13"/>
      <c r="L13">
        <f>9*60*13.6</f>
        <v>7344</v>
      </c>
    </row>
    <row r="14" spans="1:16" x14ac:dyDescent="0.3">
      <c r="B14" s="70" t="s">
        <v>38</v>
      </c>
      <c r="C14" s="69"/>
      <c r="D14" s="98"/>
      <c r="E14"/>
      <c r="G14" s="218" t="s">
        <v>429</v>
      </c>
      <c r="L14">
        <f>L13/150</f>
        <v>48.96</v>
      </c>
    </row>
    <row r="15" spans="1:16" x14ac:dyDescent="0.3">
      <c r="B15" s="65" t="s">
        <v>102</v>
      </c>
      <c r="C15" s="64"/>
      <c r="D15" s="79">
        <v>8526</v>
      </c>
      <c r="E15"/>
      <c r="G15" s="203" t="s">
        <v>103</v>
      </c>
      <c r="H15" s="204">
        <v>4000</v>
      </c>
    </row>
    <row r="16" spans="1:16" x14ac:dyDescent="0.3">
      <c r="B16" s="70" t="s">
        <v>40</v>
      </c>
      <c r="C16" s="69"/>
      <c r="D16" s="98"/>
      <c r="E16"/>
      <c r="G16" s="192" t="s">
        <v>59</v>
      </c>
      <c r="H16" s="196">
        <v>4000</v>
      </c>
    </row>
    <row r="17" spans="1:15" x14ac:dyDescent="0.3">
      <c r="B17" s="65" t="s">
        <v>48</v>
      </c>
      <c r="C17" s="64"/>
      <c r="D17" s="79"/>
      <c r="E17"/>
      <c r="G17" s="192" t="s">
        <v>61</v>
      </c>
      <c r="H17" s="196">
        <v>3000</v>
      </c>
      <c r="M17" s="1" t="s">
        <v>154</v>
      </c>
    </row>
    <row r="18" spans="1:15" x14ac:dyDescent="0.3">
      <c r="B18" s="70" t="s">
        <v>49</v>
      </c>
      <c r="C18" s="69"/>
      <c r="D18" s="98">
        <v>49247.8</v>
      </c>
      <c r="E18"/>
      <c r="G18" s="192" t="s">
        <v>158</v>
      </c>
      <c r="H18" s="196"/>
    </row>
    <row r="19" spans="1:15" x14ac:dyDescent="0.3">
      <c r="B19" s="65" t="s">
        <v>51</v>
      </c>
      <c r="C19" s="66">
        <v>4045.02</v>
      </c>
      <c r="D19" s="79"/>
      <c r="E19"/>
      <c r="G19" s="192" t="s">
        <v>62</v>
      </c>
      <c r="H19" s="196">
        <v>1950</v>
      </c>
    </row>
    <row r="20" spans="1:15" x14ac:dyDescent="0.3">
      <c r="B20" s="70" t="s">
        <v>52</v>
      </c>
      <c r="C20" s="69"/>
      <c r="D20" s="98"/>
      <c r="E20"/>
      <c r="G20" s="192" t="s">
        <v>19</v>
      </c>
      <c r="H20" s="196">
        <v>3000</v>
      </c>
    </row>
    <row r="21" spans="1:15" x14ac:dyDescent="0.3">
      <c r="B21" s="65" t="s">
        <v>181</v>
      </c>
      <c r="C21" s="66">
        <v>20000</v>
      </c>
      <c r="D21" s="86"/>
      <c r="E21"/>
      <c r="G21" s="195" t="s">
        <v>143</v>
      </c>
      <c r="H21" s="197">
        <v>2800</v>
      </c>
    </row>
    <row r="22" spans="1:15" x14ac:dyDescent="0.3">
      <c r="B22" s="70" t="s">
        <v>107</v>
      </c>
      <c r="C22" s="69">
        <f>(C21+C34+2000+5000)*0.045</f>
        <v>1575</v>
      </c>
      <c r="D22" s="98"/>
      <c r="E22"/>
      <c r="G22"/>
    </row>
    <row r="23" spans="1:15" x14ac:dyDescent="0.3">
      <c r="B23" s="65" t="s">
        <v>55</v>
      </c>
      <c r="C23" s="64"/>
      <c r="D23" s="79"/>
      <c r="E23"/>
      <c r="G23"/>
      <c r="H23" s="3">
        <f>SUM(H15:H22)</f>
        <v>18750</v>
      </c>
    </row>
    <row r="24" spans="1:15" x14ac:dyDescent="0.3">
      <c r="A24" s="1"/>
      <c r="B24" s="70" t="s">
        <v>175</v>
      </c>
      <c r="C24" s="69"/>
      <c r="D24" s="98"/>
      <c r="E24"/>
      <c r="G24"/>
    </row>
    <row r="25" spans="1:15" s="1" customFormat="1" x14ac:dyDescent="0.3">
      <c r="B25" s="64" t="s">
        <v>108</v>
      </c>
      <c r="C25" s="64"/>
      <c r="D25" s="79"/>
      <c r="E25"/>
      <c r="F25" s="8"/>
      <c r="G25"/>
      <c r="J25"/>
      <c r="L25"/>
      <c r="O25"/>
    </row>
    <row r="26" spans="1:15" s="1" customFormat="1" x14ac:dyDescent="0.3">
      <c r="B26" s="69" t="s">
        <v>170</v>
      </c>
      <c r="C26" s="69"/>
      <c r="D26" s="98">
        <f>3500*12</f>
        <v>42000</v>
      </c>
      <c r="E26"/>
      <c r="F26" s="8"/>
      <c r="G26"/>
      <c r="J26"/>
      <c r="L26"/>
      <c r="O26"/>
    </row>
    <row r="27" spans="1:15" s="1" customFormat="1" x14ac:dyDescent="0.3">
      <c r="B27" s="64" t="s">
        <v>114</v>
      </c>
      <c r="C27" s="72"/>
      <c r="D27" s="79"/>
      <c r="E27"/>
      <c r="F27" s="8"/>
      <c r="G27"/>
      <c r="J27"/>
      <c r="K27" s="1">
        <f>32*25</f>
        <v>800</v>
      </c>
      <c r="L27"/>
      <c r="O27"/>
    </row>
    <row r="28" spans="1:15" s="1" customFormat="1" x14ac:dyDescent="0.3">
      <c r="B28" s="69" t="s">
        <v>132</v>
      </c>
      <c r="C28" s="69"/>
      <c r="D28" s="98"/>
      <c r="E28"/>
      <c r="F28" s="22"/>
      <c r="G28"/>
      <c r="J28"/>
      <c r="K28" s="1">
        <f>4000/K27</f>
        <v>5</v>
      </c>
      <c r="L28"/>
      <c r="O28"/>
    </row>
    <row r="29" spans="1:15" s="1" customFormat="1" x14ac:dyDescent="0.3">
      <c r="B29" s="64" t="s">
        <v>1</v>
      </c>
      <c r="C29" s="64"/>
      <c r="D29" s="79">
        <v>45000</v>
      </c>
      <c r="E29"/>
      <c r="F29" s="22"/>
      <c r="G29"/>
      <c r="J29"/>
      <c r="L29"/>
      <c r="O29"/>
    </row>
    <row r="30" spans="1:15" s="1" customFormat="1" x14ac:dyDescent="0.3">
      <c r="B30" s="69" t="s">
        <v>150</v>
      </c>
      <c r="C30" s="69"/>
      <c r="D30" s="98">
        <v>47000</v>
      </c>
      <c r="E30"/>
      <c r="F30" s="22"/>
      <c r="G30">
        <f>1600/15</f>
        <v>106.66666666666667</v>
      </c>
      <c r="H30" s="3"/>
      <c r="J30"/>
      <c r="L30"/>
      <c r="O30"/>
    </row>
    <row r="31" spans="1:15" s="1" customFormat="1" x14ac:dyDescent="0.3">
      <c r="B31" s="64" t="s">
        <v>160</v>
      </c>
      <c r="C31" s="64">
        <f>1450*5</f>
        <v>7250</v>
      </c>
      <c r="D31" s="79"/>
      <c r="E31"/>
      <c r="F31" s="22"/>
      <c r="G31" s="1">
        <f>G30/30</f>
        <v>3.5555555555555558</v>
      </c>
      <c r="J31"/>
      <c r="L31"/>
      <c r="O31"/>
    </row>
    <row r="32" spans="1:15" s="1" customFormat="1" x14ac:dyDescent="0.3">
      <c r="B32" s="69" t="s">
        <v>161</v>
      </c>
      <c r="C32" s="69">
        <f>16.9*1.16*500</f>
        <v>9801.9999999999982</v>
      </c>
      <c r="D32" s="98"/>
      <c r="E32"/>
      <c r="F32" s="22"/>
      <c r="J32"/>
      <c r="L32"/>
      <c r="O32"/>
    </row>
    <row r="33" spans="2:15" s="1" customFormat="1" x14ac:dyDescent="0.3">
      <c r="B33" s="64" t="s">
        <v>182</v>
      </c>
      <c r="C33" s="64"/>
      <c r="D33" s="79">
        <v>15000</v>
      </c>
      <c r="E33"/>
      <c r="F33" s="22"/>
      <c r="J33"/>
      <c r="L33"/>
      <c r="O33"/>
    </row>
    <row r="34" spans="2:15" s="1" customFormat="1" x14ac:dyDescent="0.3">
      <c r="B34" s="69" t="s">
        <v>183</v>
      </c>
      <c r="C34" s="69">
        <v>8000</v>
      </c>
      <c r="D34" s="98"/>
      <c r="E34"/>
      <c r="F34" s="22"/>
      <c r="J34"/>
      <c r="L34"/>
      <c r="O34"/>
    </row>
    <row r="35" spans="2:15" s="1" customFormat="1" x14ac:dyDescent="0.3">
      <c r="B35" s="64"/>
      <c r="C35" s="66"/>
      <c r="D35" s="86"/>
      <c r="E35"/>
      <c r="F35" s="22"/>
      <c r="J35"/>
      <c r="L35"/>
      <c r="O35"/>
    </row>
    <row r="36" spans="2:15" x14ac:dyDescent="0.3">
      <c r="C36" s="15">
        <f>SUM(C7:C34)</f>
        <v>205337.81999999998</v>
      </c>
      <c r="D36" s="31">
        <f>SUM(D7:D35)</f>
        <v>376773.8</v>
      </c>
      <c r="E36"/>
    </row>
    <row r="37" spans="2:15" x14ac:dyDescent="0.3">
      <c r="C37" s="34"/>
      <c r="E37"/>
    </row>
    <row r="38" spans="2:15" x14ac:dyDescent="0.3">
      <c r="C38" s="34"/>
      <c r="E38"/>
    </row>
    <row r="39" spans="2:15" x14ac:dyDescent="0.3">
      <c r="C39" s="34">
        <v>112000</v>
      </c>
      <c r="E39"/>
    </row>
    <row r="40" spans="2:15" x14ac:dyDescent="0.3">
      <c r="C40" s="34">
        <f>D8+D9+C12+C26</f>
        <v>69999.8</v>
      </c>
      <c r="E40"/>
    </row>
    <row r="41" spans="2:15" s="1" customFormat="1" x14ac:dyDescent="0.3">
      <c r="B41"/>
      <c r="C41" s="34"/>
      <c r="F41" s="8"/>
      <c r="J41"/>
      <c r="L41"/>
    </row>
    <row r="42" spans="2:15" x14ac:dyDescent="0.3">
      <c r="C42" s="34"/>
    </row>
    <row r="43" spans="2:15" s="1" customFormat="1" x14ac:dyDescent="0.3">
      <c r="B43"/>
      <c r="C43" s="34"/>
      <c r="F43" s="8"/>
      <c r="J43"/>
      <c r="L43"/>
    </row>
    <row r="44" spans="2:15" s="1" customFormat="1" x14ac:dyDescent="0.3">
      <c r="B44"/>
      <c r="F44" s="8"/>
      <c r="J44"/>
      <c r="L44"/>
    </row>
    <row r="45" spans="2:15" s="1" customFormat="1" x14ac:dyDescent="0.3">
      <c r="B45"/>
      <c r="F45" s="8"/>
      <c r="J45"/>
      <c r="L45"/>
    </row>
  </sheetData>
  <mergeCells count="1">
    <mergeCell ref="O1:P1"/>
  </mergeCells>
  <conditionalFormatting sqref="P6">
    <cfRule type="cellIs" dxfId="29" priority="1" operator="lessThan">
      <formula>0</formula>
    </cfRule>
  </conditionalFormatting>
  <conditionalFormatting sqref="P6">
    <cfRule type="cellIs" dxfId="28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876F-EF40-4DA2-A31C-BBD5E34F37E2}">
  <dimension ref="A1:Q4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7.109375" style="8" customWidth="1"/>
    <col min="5" max="5" width="14.6640625" style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447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C37</f>
        <v>206967.6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D37</f>
        <v>103500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227100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v>0</v>
      </c>
    </row>
    <row r="6" spans="1:17" ht="17.399999999999999" x14ac:dyDescent="0.35">
      <c r="B6" s="68" t="s">
        <v>184</v>
      </c>
      <c r="C6" s="82" t="s">
        <v>90</v>
      </c>
      <c r="D6" s="103"/>
      <c r="E6" t="s">
        <v>91</v>
      </c>
      <c r="H6" s="122" t="s">
        <v>92</v>
      </c>
      <c r="I6" s="124"/>
      <c r="K6" s="3"/>
      <c r="M6" s="1"/>
      <c r="P6" s="271" t="s">
        <v>444</v>
      </c>
      <c r="Q6" s="272">
        <f>Q4-Q5-Q2</f>
        <v>20132.399999999994</v>
      </c>
    </row>
    <row r="7" spans="1:17" x14ac:dyDescent="0.3">
      <c r="B7" s="65" t="s">
        <v>30</v>
      </c>
      <c r="C7" s="66">
        <v>100000</v>
      </c>
      <c r="D7" s="86"/>
      <c r="E7"/>
      <c r="H7" s="123" t="s">
        <v>179</v>
      </c>
      <c r="I7" s="125"/>
      <c r="M7" s="1"/>
    </row>
    <row r="8" spans="1:17" x14ac:dyDescent="0.3">
      <c r="B8" s="70" t="s">
        <v>41</v>
      </c>
      <c r="C8" s="69">
        <f>I23</f>
        <v>21800</v>
      </c>
      <c r="D8" s="98"/>
      <c r="E8"/>
      <c r="H8" s="123" t="s">
        <v>180</v>
      </c>
      <c r="I8" s="125">
        <v>39100</v>
      </c>
      <c r="M8" s="1"/>
    </row>
    <row r="9" spans="1:17" x14ac:dyDescent="0.3">
      <c r="B9" s="65" t="s">
        <v>2</v>
      </c>
      <c r="C9" s="66">
        <v>30000</v>
      </c>
      <c r="D9" s="86">
        <f>C9</f>
        <v>30000</v>
      </c>
      <c r="E9"/>
      <c r="H9" s="123" t="s">
        <v>172</v>
      </c>
      <c r="I9" s="125">
        <v>188000</v>
      </c>
      <c r="M9" s="1"/>
    </row>
    <row r="10" spans="1:17" x14ac:dyDescent="0.3">
      <c r="B10" s="70" t="s">
        <v>2</v>
      </c>
      <c r="C10" s="69"/>
      <c r="D10" s="98"/>
      <c r="E10"/>
      <c r="H10" s="123"/>
      <c r="I10" s="125"/>
      <c r="M10" s="1"/>
    </row>
    <row r="11" spans="1:17" x14ac:dyDescent="0.3">
      <c r="B11" s="65" t="s">
        <v>73</v>
      </c>
      <c r="C11" s="64"/>
      <c r="D11" s="86"/>
      <c r="E11"/>
      <c r="H11" s="126"/>
      <c r="I11" s="127">
        <f>SUM(I7:I10)</f>
        <v>227100</v>
      </c>
      <c r="M11" s="1"/>
    </row>
    <row r="12" spans="1:17" x14ac:dyDescent="0.3">
      <c r="B12" s="70" t="s">
        <v>37</v>
      </c>
      <c r="C12" s="69">
        <v>10000</v>
      </c>
      <c r="D12" s="98">
        <f>C12</f>
        <v>10000</v>
      </c>
      <c r="E12"/>
      <c r="H12" s="1" t="s">
        <v>99</v>
      </c>
      <c r="I12" s="32">
        <f>I11-C37-E37</f>
        <v>20132.399999999994</v>
      </c>
      <c r="M12" s="1"/>
    </row>
    <row r="13" spans="1:17" x14ac:dyDescent="0.3">
      <c r="B13" s="65" t="s">
        <v>7</v>
      </c>
      <c r="C13" s="64"/>
      <c r="D13" s="86"/>
      <c r="E13"/>
      <c r="F13" s="8"/>
      <c r="M13">
        <f>9*60*13.6</f>
        <v>7344</v>
      </c>
    </row>
    <row r="14" spans="1:17" x14ac:dyDescent="0.3">
      <c r="B14" s="70" t="s">
        <v>38</v>
      </c>
      <c r="C14" s="69"/>
      <c r="D14" s="98"/>
      <c r="E14"/>
      <c r="H14" s="218" t="s">
        <v>429</v>
      </c>
      <c r="M14">
        <f>M13/150</f>
        <v>48.96</v>
      </c>
    </row>
    <row r="15" spans="1:17" x14ac:dyDescent="0.3">
      <c r="B15" s="65" t="s">
        <v>102</v>
      </c>
      <c r="C15" s="64"/>
      <c r="D15" s="86"/>
      <c r="E15"/>
      <c r="F15" s="8">
        <v>8526</v>
      </c>
      <c r="H15" s="203" t="s">
        <v>103</v>
      </c>
      <c r="I15" s="204">
        <v>4000</v>
      </c>
    </row>
    <row r="16" spans="1:17" x14ac:dyDescent="0.3">
      <c r="B16" s="70" t="s">
        <v>40</v>
      </c>
      <c r="C16" s="69"/>
      <c r="D16" s="98"/>
      <c r="E16"/>
      <c r="H16" s="192" t="s">
        <v>59</v>
      </c>
      <c r="I16" s="196">
        <v>4500</v>
      </c>
    </row>
    <row r="17" spans="1:16" x14ac:dyDescent="0.3">
      <c r="B17" s="65" t="s">
        <v>48</v>
      </c>
      <c r="C17" s="64"/>
      <c r="D17" s="86"/>
      <c r="E17"/>
      <c r="H17" s="192" t="s">
        <v>61</v>
      </c>
      <c r="I17" s="196">
        <v>3500</v>
      </c>
      <c r="N17" s="1" t="s">
        <v>154</v>
      </c>
    </row>
    <row r="18" spans="1:16" x14ac:dyDescent="0.3">
      <c r="B18" s="70" t="s">
        <v>49</v>
      </c>
      <c r="C18" s="69"/>
      <c r="D18" s="98"/>
      <c r="E18"/>
      <c r="F18" s="28">
        <v>49247.8</v>
      </c>
      <c r="H18" s="192" t="s">
        <v>158</v>
      </c>
      <c r="I18" s="196"/>
    </row>
    <row r="19" spans="1:16" x14ac:dyDescent="0.3">
      <c r="B19" s="65" t="s">
        <v>51</v>
      </c>
      <c r="C19" s="66">
        <v>10000</v>
      </c>
      <c r="D19" s="86"/>
      <c r="E19"/>
      <c r="H19" s="192" t="s">
        <v>62</v>
      </c>
      <c r="I19" s="196">
        <v>1950</v>
      </c>
    </row>
    <row r="20" spans="1:16" x14ac:dyDescent="0.3">
      <c r="B20" s="70" t="s">
        <v>52</v>
      </c>
      <c r="C20" s="69"/>
      <c r="D20" s="98"/>
      <c r="E20"/>
      <c r="H20" s="208" t="s">
        <v>185</v>
      </c>
      <c r="I20" s="196">
        <v>1850</v>
      </c>
    </row>
    <row r="21" spans="1:16" x14ac:dyDescent="0.3">
      <c r="B21" s="65" t="s">
        <v>181</v>
      </c>
      <c r="C21" s="64"/>
      <c r="D21" s="86"/>
      <c r="E21"/>
      <c r="H21" s="192" t="s">
        <v>19</v>
      </c>
      <c r="I21" s="196">
        <v>3000</v>
      </c>
    </row>
    <row r="22" spans="1:16" x14ac:dyDescent="0.3">
      <c r="B22" s="70" t="s">
        <v>107</v>
      </c>
      <c r="C22" s="69">
        <f>(C7+C8)*0.042</f>
        <v>5115.6000000000004</v>
      </c>
      <c r="D22" s="98"/>
      <c r="E22"/>
      <c r="F22" s="8"/>
      <c r="H22" s="192" t="s">
        <v>143</v>
      </c>
      <c r="I22" s="196">
        <v>3000</v>
      </c>
    </row>
    <row r="23" spans="1:16" x14ac:dyDescent="0.3">
      <c r="B23" s="65" t="s">
        <v>55</v>
      </c>
      <c r="C23" s="64"/>
      <c r="D23" s="86"/>
      <c r="E23"/>
      <c r="H23" s="195"/>
      <c r="I23" s="205">
        <f>SUM(I15:I22)</f>
        <v>21800</v>
      </c>
    </row>
    <row r="24" spans="1:16" x14ac:dyDescent="0.3">
      <c r="A24" s="1"/>
      <c r="B24" s="70" t="s">
        <v>175</v>
      </c>
      <c r="C24" s="69"/>
      <c r="D24" s="98"/>
      <c r="E24"/>
      <c r="H24"/>
    </row>
    <row r="25" spans="1:16" s="1" customFormat="1" x14ac:dyDescent="0.3">
      <c r="B25" s="64" t="s">
        <v>108</v>
      </c>
      <c r="C25" s="64"/>
      <c r="D25" s="86"/>
      <c r="E25"/>
      <c r="G25" s="8"/>
      <c r="H25"/>
      <c r="K25"/>
      <c r="M25"/>
      <c r="P25"/>
    </row>
    <row r="26" spans="1:16" s="1" customFormat="1" x14ac:dyDescent="0.3">
      <c r="B26" s="69" t="s">
        <v>170</v>
      </c>
      <c r="C26" s="69"/>
      <c r="D26" s="98">
        <v>42000</v>
      </c>
      <c r="E26"/>
      <c r="G26" s="8"/>
      <c r="H26"/>
      <c r="K26"/>
      <c r="M26"/>
      <c r="P26"/>
    </row>
    <row r="27" spans="1:16" s="1" customFormat="1" x14ac:dyDescent="0.3">
      <c r="B27" s="64" t="s">
        <v>114</v>
      </c>
      <c r="C27" s="72"/>
      <c r="D27" s="86"/>
      <c r="E27"/>
      <c r="G27" s="8"/>
      <c r="H27"/>
      <c r="K27"/>
      <c r="L27" s="1">
        <f>32*25</f>
        <v>800</v>
      </c>
      <c r="M27"/>
      <c r="P27"/>
    </row>
    <row r="28" spans="1:16" s="1" customFormat="1" x14ac:dyDescent="0.3">
      <c r="B28" s="69" t="s">
        <v>132</v>
      </c>
      <c r="C28" s="69"/>
      <c r="D28" s="98"/>
      <c r="E28"/>
      <c r="G28" s="22"/>
      <c r="H28"/>
      <c r="K28"/>
      <c r="L28" s="1">
        <f>4000/L27</f>
        <v>5</v>
      </c>
      <c r="M28"/>
      <c r="P28"/>
    </row>
    <row r="29" spans="1:16" s="1" customFormat="1" x14ac:dyDescent="0.3">
      <c r="B29" s="64" t="s">
        <v>1</v>
      </c>
      <c r="C29" s="64"/>
      <c r="D29" s="86">
        <v>15000</v>
      </c>
      <c r="E29"/>
      <c r="F29" s="16">
        <v>30000</v>
      </c>
      <c r="G29" s="22"/>
      <c r="H29"/>
      <c r="K29"/>
      <c r="M29"/>
      <c r="P29"/>
    </row>
    <row r="30" spans="1:16" s="1" customFormat="1" x14ac:dyDescent="0.3">
      <c r="B30" s="69" t="s">
        <v>150</v>
      </c>
      <c r="C30" s="69"/>
      <c r="D30" s="98"/>
      <c r="E30"/>
      <c r="F30" s="1">
        <f>47000-E30</f>
        <v>47000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160</v>
      </c>
      <c r="C31" s="64">
        <f>1450*5</f>
        <v>7250</v>
      </c>
      <c r="D31" s="86"/>
      <c r="E31"/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69" t="s">
        <v>161</v>
      </c>
      <c r="C32" s="69">
        <f>16.9*1.16*500</f>
        <v>9801.9999999999982</v>
      </c>
      <c r="D32" s="98"/>
      <c r="E32"/>
      <c r="G32" s="22"/>
      <c r="K32"/>
      <c r="M32"/>
      <c r="P32"/>
    </row>
    <row r="33" spans="1:16" s="1" customFormat="1" x14ac:dyDescent="0.3">
      <c r="B33" s="64" t="s">
        <v>182</v>
      </c>
      <c r="C33" s="64"/>
      <c r="D33" s="86"/>
      <c r="E33"/>
      <c r="F33" s="1">
        <v>15000</v>
      </c>
      <c r="G33" s="22"/>
      <c r="K33"/>
      <c r="M33"/>
      <c r="P33"/>
    </row>
    <row r="34" spans="1:16" s="1" customFormat="1" x14ac:dyDescent="0.3">
      <c r="B34" s="69" t="s">
        <v>183</v>
      </c>
      <c r="C34" s="69"/>
      <c r="D34" s="98"/>
      <c r="E34"/>
      <c r="G34" s="22"/>
      <c r="K34"/>
      <c r="M34"/>
      <c r="P34"/>
    </row>
    <row r="35" spans="1:16" s="1" customFormat="1" x14ac:dyDescent="0.3">
      <c r="B35" s="64" t="s">
        <v>143</v>
      </c>
      <c r="C35" s="66">
        <v>6500</v>
      </c>
      <c r="D35" s="86"/>
      <c r="E35"/>
      <c r="G35" s="22"/>
      <c r="K35"/>
      <c r="M35"/>
      <c r="P35"/>
    </row>
    <row r="36" spans="1:16" s="1" customFormat="1" x14ac:dyDescent="0.3">
      <c r="B36" s="69" t="s">
        <v>19</v>
      </c>
      <c r="C36" s="69">
        <v>6500</v>
      </c>
      <c r="D36" s="98">
        <f>C36</f>
        <v>6500</v>
      </c>
      <c r="E36"/>
      <c r="G36" s="22"/>
      <c r="K36"/>
      <c r="M36"/>
      <c r="P36"/>
    </row>
    <row r="37" spans="1:16" x14ac:dyDescent="0.3">
      <c r="C37" s="15">
        <f>SUM(C7:C36)</f>
        <v>206967.6</v>
      </c>
      <c r="D37" s="22">
        <f>SUM(D7:D36)</f>
        <v>103500</v>
      </c>
      <c r="E37"/>
      <c r="F37" s="15">
        <f>SUM(F7:F34)</f>
        <v>149773.79999999999</v>
      </c>
    </row>
    <row r="38" spans="1:16" x14ac:dyDescent="0.3">
      <c r="C38" s="34"/>
      <c r="D38" s="38"/>
      <c r="E38"/>
    </row>
    <row r="39" spans="1:16" s="1" customFormat="1" x14ac:dyDescent="0.3">
      <c r="A39"/>
      <c r="B39"/>
      <c r="C39" s="34"/>
      <c r="D39" s="38"/>
      <c r="E39"/>
      <c r="G39" s="8"/>
      <c r="K39"/>
      <c r="M39"/>
      <c r="P39"/>
    </row>
    <row r="40" spans="1:16" s="1" customFormat="1" x14ac:dyDescent="0.3">
      <c r="A40"/>
      <c r="B40"/>
      <c r="C40" s="34">
        <v>112000</v>
      </c>
      <c r="D40" s="38"/>
      <c r="E40"/>
      <c r="G40" s="8"/>
      <c r="K40"/>
      <c r="M40"/>
      <c r="P40"/>
    </row>
    <row r="41" spans="1:16" s="1" customFormat="1" x14ac:dyDescent="0.3">
      <c r="A41"/>
      <c r="B41"/>
      <c r="C41" s="34">
        <f>E8+E9+C12+C26</f>
        <v>10000</v>
      </c>
      <c r="D41" s="38"/>
      <c r="E41"/>
      <c r="G41" s="8"/>
      <c r="K41"/>
      <c r="M41"/>
      <c r="P41"/>
    </row>
    <row r="42" spans="1:16" s="1" customFormat="1" x14ac:dyDescent="0.3">
      <c r="B42"/>
      <c r="C42" s="34"/>
      <c r="D42" s="38"/>
      <c r="G42" s="8"/>
      <c r="K42"/>
      <c r="M42"/>
    </row>
    <row r="43" spans="1:16" s="1" customFormat="1" x14ac:dyDescent="0.3">
      <c r="A43"/>
      <c r="B43"/>
      <c r="C43" s="34"/>
      <c r="D43" s="38"/>
      <c r="G43" s="8"/>
      <c r="K43"/>
      <c r="M43"/>
      <c r="P43"/>
    </row>
    <row r="44" spans="1:16" s="1" customFormat="1" x14ac:dyDescent="0.3">
      <c r="B44"/>
      <c r="C44" s="34"/>
      <c r="D44" s="38"/>
      <c r="G44" s="8"/>
      <c r="K44"/>
      <c r="M44"/>
    </row>
    <row r="45" spans="1:16" s="1" customFormat="1" x14ac:dyDescent="0.3">
      <c r="B45"/>
      <c r="D45" s="8"/>
      <c r="G45" s="8"/>
      <c r="K45"/>
      <c r="M45"/>
    </row>
    <row r="46" spans="1:16" s="1" customFormat="1" x14ac:dyDescent="0.3">
      <c r="B46"/>
      <c r="D46" s="8"/>
      <c r="G46" s="8"/>
      <c r="K46"/>
      <c r="M46"/>
    </row>
  </sheetData>
  <mergeCells count="1">
    <mergeCell ref="P1:Q1"/>
  </mergeCells>
  <conditionalFormatting sqref="Q6">
    <cfRule type="cellIs" dxfId="27" priority="1" operator="lessThan">
      <formula>0</formula>
    </cfRule>
  </conditionalFormatting>
  <conditionalFormatting sqref="Q6">
    <cfRule type="cellIs" dxfId="2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A5BB-91A3-4473-81DE-E4AB7A8F1922}">
  <dimension ref="A1:Q45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2.6640625" style="8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448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C36</f>
        <v>215104.2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D36</f>
        <v>244546.16999999998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328790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v>0</v>
      </c>
    </row>
    <row r="6" spans="1:17" ht="17.399999999999999" x14ac:dyDescent="0.35">
      <c r="B6" s="68" t="s">
        <v>186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113685.79999999999</v>
      </c>
    </row>
    <row r="7" spans="1:17" x14ac:dyDescent="0.3">
      <c r="B7" s="65" t="s">
        <v>30</v>
      </c>
      <c r="C7" s="90">
        <v>110000</v>
      </c>
      <c r="D7" s="79">
        <v>70000</v>
      </c>
      <c r="E7"/>
      <c r="H7" s="123" t="s">
        <v>172</v>
      </c>
      <c r="I7" s="125">
        <v>199760</v>
      </c>
      <c r="M7" s="1"/>
    </row>
    <row r="8" spans="1:17" x14ac:dyDescent="0.3">
      <c r="B8" s="70" t="s">
        <v>41</v>
      </c>
      <c r="C8" s="69">
        <f>I23</f>
        <v>19950</v>
      </c>
      <c r="D8" s="98"/>
      <c r="E8"/>
      <c r="H8" s="123" t="s">
        <v>179</v>
      </c>
      <c r="I8" s="125">
        <f>258060/2</f>
        <v>129030</v>
      </c>
      <c r="M8" s="1"/>
    </row>
    <row r="9" spans="1:17" x14ac:dyDescent="0.3">
      <c r="B9" s="65" t="s">
        <v>2</v>
      </c>
      <c r="C9" s="90">
        <v>30000</v>
      </c>
      <c r="D9" s="107">
        <v>45000</v>
      </c>
      <c r="E9"/>
      <c r="H9" s="123" t="s">
        <v>187</v>
      </c>
      <c r="I9" s="125"/>
      <c r="M9" s="1"/>
    </row>
    <row r="10" spans="1:17" x14ac:dyDescent="0.3">
      <c r="B10" s="70" t="s">
        <v>2</v>
      </c>
      <c r="C10" s="69"/>
      <c r="D10" s="98"/>
      <c r="E10"/>
      <c r="H10" s="123"/>
      <c r="I10" s="125"/>
      <c r="M10" s="1"/>
    </row>
    <row r="11" spans="1:17" x14ac:dyDescent="0.3">
      <c r="B11" s="65" t="s">
        <v>188</v>
      </c>
      <c r="C11" s="64"/>
      <c r="D11" s="107">
        <f>7467.5+1493.5</f>
        <v>8961</v>
      </c>
      <c r="E11"/>
      <c r="H11" s="126"/>
      <c r="I11" s="127">
        <f>SUM(I7:I10)</f>
        <v>328790</v>
      </c>
      <c r="M11" s="1"/>
    </row>
    <row r="12" spans="1:17" x14ac:dyDescent="0.3">
      <c r="B12" s="70" t="s">
        <v>37</v>
      </c>
      <c r="C12" s="69"/>
      <c r="D12" s="98">
        <v>10000</v>
      </c>
      <c r="E12"/>
      <c r="H12" s="1" t="s">
        <v>99</v>
      </c>
      <c r="I12" s="32">
        <f>I11-C36-D36</f>
        <v>-130860.37</v>
      </c>
      <c r="M12" s="1"/>
    </row>
    <row r="13" spans="1:17" x14ac:dyDescent="0.3">
      <c r="B13" s="65" t="s">
        <v>7</v>
      </c>
      <c r="C13" s="72"/>
      <c r="D13" s="79"/>
      <c r="E13"/>
      <c r="F13" s="8"/>
      <c r="M13">
        <f>9*60*13.6</f>
        <v>7344</v>
      </c>
    </row>
    <row r="14" spans="1:17" x14ac:dyDescent="0.3">
      <c r="B14" s="70" t="s">
        <v>38</v>
      </c>
      <c r="C14" s="69"/>
      <c r="D14" s="98"/>
      <c r="E14"/>
      <c r="M14">
        <f>M13/150</f>
        <v>48.96</v>
      </c>
    </row>
    <row r="15" spans="1:17" x14ac:dyDescent="0.3">
      <c r="B15" s="65" t="s">
        <v>102</v>
      </c>
      <c r="C15" s="72"/>
      <c r="D15" s="79"/>
      <c r="E15"/>
      <c r="F15" s="8">
        <v>8526</v>
      </c>
      <c r="H15" t="s">
        <v>103</v>
      </c>
      <c r="I15" s="1">
        <v>4000</v>
      </c>
    </row>
    <row r="16" spans="1:17" x14ac:dyDescent="0.3">
      <c r="B16" s="70" t="s">
        <v>40</v>
      </c>
      <c r="C16" s="69"/>
      <c r="D16" s="98"/>
      <c r="E16"/>
      <c r="H16" t="s">
        <v>59</v>
      </c>
      <c r="I16" s="1">
        <v>4000</v>
      </c>
      <c r="J16" s="1" t="s">
        <v>189</v>
      </c>
    </row>
    <row r="17" spans="1:16" x14ac:dyDescent="0.3">
      <c r="B17" s="65" t="s">
        <v>48</v>
      </c>
      <c r="C17" s="72"/>
      <c r="D17" s="79"/>
      <c r="E17"/>
      <c r="H17" t="s">
        <v>61</v>
      </c>
      <c r="I17" s="1">
        <v>3000</v>
      </c>
      <c r="N17" s="1" t="s">
        <v>154</v>
      </c>
    </row>
    <row r="18" spans="1:16" x14ac:dyDescent="0.3">
      <c r="B18" s="70" t="s">
        <v>49</v>
      </c>
      <c r="C18" s="69"/>
      <c r="D18" s="98"/>
      <c r="E18"/>
      <c r="F18" s="28">
        <v>49247.8</v>
      </c>
      <c r="H18" t="s">
        <v>158</v>
      </c>
    </row>
    <row r="19" spans="1:16" x14ac:dyDescent="0.3">
      <c r="B19" s="65" t="s">
        <v>51</v>
      </c>
      <c r="C19" s="90">
        <f>2262+4549.7</f>
        <v>6811.7</v>
      </c>
      <c r="D19" s="79"/>
      <c r="E19"/>
      <c r="H19" t="s">
        <v>62</v>
      </c>
      <c r="I19" s="1">
        <v>1950</v>
      </c>
    </row>
    <row r="20" spans="1:16" x14ac:dyDescent="0.3">
      <c r="B20" s="70" t="s">
        <v>52</v>
      </c>
      <c r="C20" s="69"/>
      <c r="D20" s="98"/>
      <c r="E20"/>
      <c r="H20" s="1" t="s">
        <v>185</v>
      </c>
      <c r="I20" s="1">
        <v>1400</v>
      </c>
    </row>
    <row r="21" spans="1:16" x14ac:dyDescent="0.3">
      <c r="B21" s="65" t="s">
        <v>181</v>
      </c>
      <c r="C21" s="72"/>
      <c r="D21" s="86"/>
      <c r="E21"/>
      <c r="H21" t="s">
        <v>19</v>
      </c>
      <c r="I21" s="1">
        <v>2800</v>
      </c>
    </row>
    <row r="22" spans="1:16" x14ac:dyDescent="0.3">
      <c r="B22" s="70" t="s">
        <v>107</v>
      </c>
      <c r="C22" s="69">
        <f>(C7+C8)*0.042</f>
        <v>5457.9000000000005</v>
      </c>
      <c r="D22" s="98">
        <f>(D7+D8)*0.042</f>
        <v>2940</v>
      </c>
      <c r="E22"/>
      <c r="F22" s="8"/>
      <c r="H22" t="s">
        <v>143</v>
      </c>
      <c r="I22" s="1">
        <v>2800</v>
      </c>
    </row>
    <row r="23" spans="1:16" x14ac:dyDescent="0.3">
      <c r="B23" s="65" t="s">
        <v>55</v>
      </c>
      <c r="C23" s="72"/>
      <c r="D23" s="79">
        <v>28500</v>
      </c>
      <c r="E23"/>
      <c r="H23"/>
      <c r="I23" s="3">
        <f>SUM(I15:I22)</f>
        <v>19950</v>
      </c>
    </row>
    <row r="24" spans="1:16" x14ac:dyDescent="0.3">
      <c r="A24" s="1"/>
      <c r="B24" s="70" t="s">
        <v>175</v>
      </c>
      <c r="C24" s="69"/>
      <c r="D24" s="98"/>
      <c r="E24"/>
      <c r="H24"/>
    </row>
    <row r="25" spans="1:16" s="1" customFormat="1" x14ac:dyDescent="0.3">
      <c r="B25" s="64" t="s">
        <v>108</v>
      </c>
      <c r="C25" s="72"/>
      <c r="D25" s="79"/>
      <c r="E25"/>
      <c r="G25" s="8"/>
      <c r="H25"/>
      <c r="K25"/>
      <c r="M25"/>
      <c r="P25"/>
    </row>
    <row r="26" spans="1:16" s="1" customFormat="1" x14ac:dyDescent="0.3">
      <c r="B26" s="69" t="s">
        <v>170</v>
      </c>
      <c r="C26" s="69">
        <v>20000</v>
      </c>
      <c r="D26" s="98">
        <v>28477.37</v>
      </c>
      <c r="E26"/>
      <c r="G26" s="8"/>
      <c r="H26"/>
      <c r="K26"/>
      <c r="M26"/>
      <c r="P26"/>
    </row>
    <row r="27" spans="1:16" s="1" customFormat="1" x14ac:dyDescent="0.3">
      <c r="B27" s="64" t="s">
        <v>114</v>
      </c>
      <c r="C27" s="72"/>
      <c r="D27" s="79"/>
      <c r="E27"/>
      <c r="G27" s="8"/>
      <c r="H27"/>
      <c r="K27"/>
      <c r="L27" s="1">
        <f>32*25</f>
        <v>800</v>
      </c>
      <c r="M27"/>
      <c r="P27"/>
    </row>
    <row r="28" spans="1:16" s="1" customFormat="1" x14ac:dyDescent="0.3">
      <c r="B28" s="69" t="s">
        <v>132</v>
      </c>
      <c r="C28" s="69"/>
      <c r="D28" s="98"/>
      <c r="E28"/>
      <c r="G28" s="22"/>
      <c r="H28"/>
      <c r="K28"/>
      <c r="L28" s="1">
        <f>4000/L27</f>
        <v>5</v>
      </c>
      <c r="M28"/>
      <c r="P28"/>
    </row>
    <row r="29" spans="1:16" s="1" customFormat="1" x14ac:dyDescent="0.3">
      <c r="B29" s="64" t="s">
        <v>1</v>
      </c>
      <c r="C29" s="64"/>
      <c r="D29" s="79">
        <v>25000</v>
      </c>
      <c r="E29"/>
      <c r="F29" s="16">
        <v>30000</v>
      </c>
      <c r="G29" s="22"/>
      <c r="H29"/>
      <c r="K29"/>
      <c r="M29"/>
      <c r="P29"/>
    </row>
    <row r="30" spans="1:16" s="1" customFormat="1" x14ac:dyDescent="0.3">
      <c r="B30" s="69" t="s">
        <v>150</v>
      </c>
      <c r="C30" s="69"/>
      <c r="D30" s="98"/>
      <c r="E30"/>
      <c r="F30" s="1">
        <f>47000-D30</f>
        <v>47000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160</v>
      </c>
      <c r="C31" s="64"/>
      <c r="D31" s="79">
        <v>7250</v>
      </c>
      <c r="E31"/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1" t="s">
        <v>161</v>
      </c>
      <c r="C32" s="39">
        <v>1896.6</v>
      </c>
      <c r="D32" s="39">
        <v>15549.8</v>
      </c>
      <c r="E32"/>
      <c r="G32" s="22"/>
      <c r="K32"/>
      <c r="M32"/>
      <c r="P32"/>
    </row>
    <row r="33" spans="1:16" s="1" customFormat="1" x14ac:dyDescent="0.3">
      <c r="B33" s="1" t="s">
        <v>190</v>
      </c>
      <c r="C33" s="39">
        <v>8120</v>
      </c>
      <c r="D33" s="8"/>
      <c r="E33"/>
      <c r="G33" s="22"/>
      <c r="K33"/>
      <c r="M33"/>
      <c r="P33"/>
    </row>
    <row r="34" spans="1:16" s="1" customFormat="1" x14ac:dyDescent="0.3">
      <c r="B34" s="1" t="s">
        <v>143</v>
      </c>
      <c r="C34" s="39">
        <v>10000</v>
      </c>
      <c r="D34" s="8"/>
      <c r="E34"/>
      <c r="G34" s="22"/>
      <c r="K34"/>
      <c r="M34"/>
      <c r="P34"/>
    </row>
    <row r="35" spans="1:16" s="1" customFormat="1" x14ac:dyDescent="0.3">
      <c r="B35" s="1" t="s">
        <v>191</v>
      </c>
      <c r="C35" s="39">
        <v>2868</v>
      </c>
      <c r="D35" s="8">
        <v>2868</v>
      </c>
      <c r="E35"/>
      <c r="G35" s="22"/>
      <c r="K35"/>
      <c r="M35"/>
      <c r="P35"/>
    </row>
    <row r="36" spans="1:16" x14ac:dyDescent="0.3">
      <c r="C36" s="15">
        <f>SUM(C7:C35)</f>
        <v>215104.2</v>
      </c>
      <c r="D36" s="31">
        <f>SUM(D7:D35)</f>
        <v>244546.16999999998</v>
      </c>
      <c r="E36"/>
      <c r="F36" s="15">
        <f>SUM(F7:F33)</f>
        <v>134773.79999999999</v>
      </c>
    </row>
    <row r="37" spans="1:16" x14ac:dyDescent="0.3">
      <c r="C37" s="34"/>
      <c r="E37" s="38"/>
    </row>
    <row r="38" spans="1:16" s="1" customFormat="1" x14ac:dyDescent="0.3">
      <c r="A38"/>
      <c r="B38"/>
      <c r="C38" s="34"/>
      <c r="E38" s="38"/>
      <c r="G38" s="8"/>
      <c r="K38"/>
      <c r="M38"/>
      <c r="P38"/>
    </row>
    <row r="39" spans="1:16" s="1" customFormat="1" x14ac:dyDescent="0.3">
      <c r="A39"/>
      <c r="B39"/>
      <c r="C39" s="34"/>
      <c r="E39" s="38"/>
      <c r="G39" s="8"/>
      <c r="K39"/>
      <c r="M39"/>
      <c r="P39"/>
    </row>
    <row r="40" spans="1:16" s="1" customFormat="1" x14ac:dyDescent="0.3">
      <c r="A40"/>
      <c r="B40"/>
      <c r="C40" s="34"/>
      <c r="E40" s="38"/>
      <c r="G40" s="8"/>
      <c r="K40"/>
      <c r="M40"/>
      <c r="P40"/>
    </row>
    <row r="41" spans="1:16" s="1" customFormat="1" x14ac:dyDescent="0.3">
      <c r="B41"/>
      <c r="C41" s="34"/>
      <c r="E41" s="38"/>
      <c r="G41" s="8"/>
      <c r="K41"/>
      <c r="M41"/>
    </row>
    <row r="42" spans="1:16" s="1" customFormat="1" x14ac:dyDescent="0.3">
      <c r="A42"/>
      <c r="B42"/>
      <c r="C42" s="34"/>
      <c r="E42" s="38"/>
      <c r="G42" s="8"/>
      <c r="K42"/>
      <c r="M42"/>
      <c r="P42"/>
    </row>
    <row r="43" spans="1:16" s="1" customFormat="1" x14ac:dyDescent="0.3">
      <c r="B43"/>
      <c r="C43" s="34"/>
      <c r="E43" s="38"/>
      <c r="G43" s="8"/>
      <c r="K43"/>
      <c r="M43"/>
    </row>
    <row r="44" spans="1:16" s="1" customFormat="1" x14ac:dyDescent="0.3">
      <c r="B44"/>
      <c r="E44" s="8"/>
      <c r="G44" s="8"/>
      <c r="K44"/>
      <c r="M44"/>
    </row>
    <row r="45" spans="1:16" s="1" customFormat="1" x14ac:dyDescent="0.3">
      <c r="B45"/>
      <c r="E45" s="8"/>
      <c r="G45" s="8"/>
      <c r="K45"/>
      <c r="M45"/>
    </row>
  </sheetData>
  <mergeCells count="1">
    <mergeCell ref="P1:Q1"/>
  </mergeCells>
  <conditionalFormatting sqref="Q6">
    <cfRule type="cellIs" dxfId="25" priority="1" operator="lessThan">
      <formula>0</formula>
    </cfRule>
  </conditionalFormatting>
  <conditionalFormatting sqref="Q6">
    <cfRule type="cellIs" dxfId="2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A2C1-6D49-429C-BC49-7AC96B3F1848}">
  <dimension ref="A1:Q4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6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1.5546875" style="1"/>
    <col min="13" max="13" width="21.88671875" customWidth="1"/>
    <col min="14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448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C37</f>
        <v>197583.924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D37</f>
        <v>122064.87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328790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I23</f>
        <v>22000</v>
      </c>
    </row>
    <row r="6" spans="1:17" ht="17.399999999999999" x14ac:dyDescent="0.35">
      <c r="B6" s="68" t="s">
        <v>192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109206.076</v>
      </c>
    </row>
    <row r="7" spans="1:17" x14ac:dyDescent="0.3">
      <c r="B7" s="65" t="s">
        <v>30</v>
      </c>
      <c r="C7" s="90">
        <v>110000</v>
      </c>
      <c r="D7" s="86"/>
      <c r="E7"/>
      <c r="H7" s="123" t="s">
        <v>172</v>
      </c>
      <c r="I7" s="125">
        <v>199760</v>
      </c>
      <c r="M7" s="1"/>
    </row>
    <row r="8" spans="1:17" x14ac:dyDescent="0.3">
      <c r="B8" s="70" t="s">
        <v>41</v>
      </c>
      <c r="C8" s="69">
        <f>I23</f>
        <v>22000</v>
      </c>
      <c r="D8" s="98"/>
      <c r="E8"/>
      <c r="H8" s="123" t="s">
        <v>179</v>
      </c>
      <c r="I8" s="125">
        <f>258060/2</f>
        <v>129030</v>
      </c>
      <c r="M8" s="1"/>
    </row>
    <row r="9" spans="1:17" x14ac:dyDescent="0.3">
      <c r="B9" s="65" t="s">
        <v>2</v>
      </c>
      <c r="C9" s="90">
        <v>24415.439999999999</v>
      </c>
      <c r="D9" s="86"/>
      <c r="E9"/>
      <c r="H9" s="123" t="s">
        <v>187</v>
      </c>
      <c r="I9" s="125"/>
      <c r="M9" s="1"/>
    </row>
    <row r="10" spans="1:17" x14ac:dyDescent="0.3">
      <c r="B10" s="70" t="s">
        <v>2</v>
      </c>
      <c r="C10" s="69"/>
      <c r="D10" s="98"/>
      <c r="E10"/>
      <c r="H10" s="123"/>
      <c r="I10" s="125"/>
      <c r="L10" s="224" t="s">
        <v>430</v>
      </c>
      <c r="M10" s="1"/>
    </row>
    <row r="11" spans="1:17" x14ac:dyDescent="0.3">
      <c r="B11" s="65" t="s">
        <v>188</v>
      </c>
      <c r="C11" s="90">
        <v>1493.5</v>
      </c>
      <c r="D11" s="107">
        <v>7467.5</v>
      </c>
      <c r="E11"/>
      <c r="H11" s="126"/>
      <c r="I11" s="127">
        <f>SUM(I7:I10)</f>
        <v>328790</v>
      </c>
      <c r="L11" s="186">
        <v>39624</v>
      </c>
      <c r="M11" s="204">
        <v>38000</v>
      </c>
    </row>
    <row r="12" spans="1:17" x14ac:dyDescent="0.3">
      <c r="B12" s="70" t="s">
        <v>37</v>
      </c>
      <c r="C12" s="69"/>
      <c r="D12" s="98">
        <v>10000</v>
      </c>
      <c r="E12"/>
      <c r="H12" s="1" t="s">
        <v>99</v>
      </c>
      <c r="I12" s="32">
        <f>I11-C37-D37</f>
        <v>9141.2060000000056</v>
      </c>
      <c r="L12" s="208">
        <v>33384</v>
      </c>
      <c r="M12" s="196">
        <v>32000</v>
      </c>
    </row>
    <row r="13" spans="1:17" x14ac:dyDescent="0.3">
      <c r="B13" s="65" t="s">
        <v>7</v>
      </c>
      <c r="C13" s="72"/>
      <c r="D13" s="79"/>
      <c r="E13"/>
      <c r="F13" s="8"/>
      <c r="L13" s="208">
        <v>104208</v>
      </c>
      <c r="M13" s="230">
        <v>100000</v>
      </c>
    </row>
    <row r="14" spans="1:17" x14ac:dyDescent="0.3">
      <c r="B14" s="70" t="s">
        <v>38</v>
      </c>
      <c r="C14" s="69"/>
      <c r="D14" s="98"/>
      <c r="E14"/>
      <c r="L14" s="233">
        <f>SUM(L10:L13)</f>
        <v>177216</v>
      </c>
      <c r="M14" s="234">
        <f>SUM(M11:M13)</f>
        <v>170000</v>
      </c>
    </row>
    <row r="15" spans="1:17" x14ac:dyDescent="0.3">
      <c r="B15" s="65" t="s">
        <v>102</v>
      </c>
      <c r="C15" s="72"/>
      <c r="D15" s="79"/>
      <c r="E15"/>
      <c r="F15" s="8">
        <v>8526</v>
      </c>
      <c r="H15" s="129" t="s">
        <v>193</v>
      </c>
      <c r="I15" s="124"/>
    </row>
    <row r="16" spans="1:17" x14ac:dyDescent="0.3">
      <c r="B16" s="70" t="s">
        <v>40</v>
      </c>
      <c r="C16" s="69"/>
      <c r="D16" s="98"/>
      <c r="E16"/>
      <c r="H16" s="130" t="s">
        <v>59</v>
      </c>
      <c r="I16" s="125">
        <v>4500</v>
      </c>
      <c r="M16" s="40">
        <f>L14-M14</f>
        <v>7216</v>
      </c>
    </row>
    <row r="17" spans="1:16" x14ac:dyDescent="0.3">
      <c r="B17" s="65" t="s">
        <v>48</v>
      </c>
      <c r="C17" s="72"/>
      <c r="D17" s="79"/>
      <c r="E17"/>
      <c r="H17" s="130" t="s">
        <v>61</v>
      </c>
      <c r="I17" s="125">
        <v>3000</v>
      </c>
      <c r="N17" s="1" t="s">
        <v>154</v>
      </c>
    </row>
    <row r="18" spans="1:16" x14ac:dyDescent="0.3">
      <c r="B18" s="70" t="s">
        <v>49</v>
      </c>
      <c r="C18" s="69"/>
      <c r="D18" s="98"/>
      <c r="E18"/>
      <c r="F18" s="28">
        <v>49247.8</v>
      </c>
      <c r="H18" s="130" t="s">
        <v>158</v>
      </c>
      <c r="I18" s="125">
        <v>1750</v>
      </c>
    </row>
    <row r="19" spans="1:16" x14ac:dyDescent="0.3">
      <c r="B19" s="65" t="s">
        <v>51</v>
      </c>
      <c r="C19" s="72"/>
      <c r="D19" s="79"/>
      <c r="E19"/>
      <c r="H19" s="130" t="s">
        <v>62</v>
      </c>
      <c r="I19" s="125">
        <v>1950</v>
      </c>
    </row>
    <row r="20" spans="1:16" x14ac:dyDescent="0.3">
      <c r="B20" s="70" t="s">
        <v>52</v>
      </c>
      <c r="C20" s="69"/>
      <c r="D20" s="98"/>
      <c r="E20"/>
      <c r="H20" s="123" t="s">
        <v>185</v>
      </c>
      <c r="I20" s="125">
        <v>2800</v>
      </c>
    </row>
    <row r="21" spans="1:16" x14ac:dyDescent="0.3">
      <c r="B21" s="65" t="s">
        <v>181</v>
      </c>
      <c r="C21" s="72"/>
      <c r="D21" s="86"/>
      <c r="E21"/>
      <c r="H21" s="130" t="s">
        <v>19</v>
      </c>
      <c r="I21" s="125">
        <v>4000</v>
      </c>
    </row>
    <row r="22" spans="1:16" x14ac:dyDescent="0.3">
      <c r="B22" s="70" t="s">
        <v>107</v>
      </c>
      <c r="C22" s="69">
        <f>(C7+C8+C33+C34)*0.042</f>
        <v>6822.9840000000004</v>
      </c>
      <c r="D22" s="98">
        <f>(D7+D8)*0.042</f>
        <v>0</v>
      </c>
      <c r="E22"/>
      <c r="F22" s="8"/>
      <c r="H22" s="130" t="s">
        <v>143</v>
      </c>
      <c r="I22" s="125">
        <v>4000</v>
      </c>
    </row>
    <row r="23" spans="1:16" x14ac:dyDescent="0.3">
      <c r="B23" s="65" t="s">
        <v>55</v>
      </c>
      <c r="C23" s="72"/>
      <c r="D23" s="107">
        <v>28500</v>
      </c>
      <c r="E23"/>
      <c r="H23" s="131"/>
      <c r="I23" s="132">
        <f>SUM(I15:I22)</f>
        <v>22000</v>
      </c>
    </row>
    <row r="24" spans="1:16" x14ac:dyDescent="0.3">
      <c r="A24" s="1"/>
      <c r="B24" s="70" t="s">
        <v>175</v>
      </c>
      <c r="C24" s="69"/>
      <c r="D24" s="98"/>
      <c r="E24"/>
      <c r="H24"/>
    </row>
    <row r="25" spans="1:16" s="1" customFormat="1" x14ac:dyDescent="0.3">
      <c r="B25" s="64" t="s">
        <v>194</v>
      </c>
      <c r="C25" s="72"/>
      <c r="D25" s="107">
        <v>15370</v>
      </c>
      <c r="E25"/>
      <c r="G25" s="8"/>
      <c r="H25"/>
      <c r="K25"/>
      <c r="M25"/>
      <c r="P25"/>
    </row>
    <row r="26" spans="1:16" s="1" customFormat="1" x14ac:dyDescent="0.3">
      <c r="B26" s="69" t="s">
        <v>170</v>
      </c>
      <c r="C26" s="69"/>
      <c r="D26" s="98">
        <v>28477.37</v>
      </c>
      <c r="E26"/>
      <c r="G26" s="8"/>
      <c r="H26"/>
      <c r="K26"/>
      <c r="M26"/>
      <c r="P26"/>
    </row>
    <row r="27" spans="1:16" s="1" customFormat="1" x14ac:dyDescent="0.3">
      <c r="B27" s="64" t="s">
        <v>114</v>
      </c>
      <c r="C27" s="72"/>
      <c r="D27" s="79"/>
      <c r="E27"/>
      <c r="G27" s="8"/>
      <c r="H27"/>
      <c r="K27"/>
      <c r="L27" s="1">
        <f>32*25</f>
        <v>800</v>
      </c>
      <c r="M27"/>
      <c r="P27"/>
    </row>
    <row r="28" spans="1:16" s="1" customFormat="1" x14ac:dyDescent="0.3">
      <c r="B28" s="69" t="s">
        <v>132</v>
      </c>
      <c r="C28" s="69"/>
      <c r="D28" s="98"/>
      <c r="E28"/>
      <c r="G28" s="22"/>
      <c r="H28"/>
      <c r="K28"/>
      <c r="L28" s="1">
        <f>4000/L27</f>
        <v>5</v>
      </c>
      <c r="M28"/>
      <c r="P28"/>
    </row>
    <row r="29" spans="1:16" s="1" customFormat="1" x14ac:dyDescent="0.3">
      <c r="B29" s="64" t="s">
        <v>1</v>
      </c>
      <c r="C29" s="64"/>
      <c r="D29" s="79">
        <v>25000</v>
      </c>
      <c r="E29"/>
      <c r="F29" s="16">
        <v>30000</v>
      </c>
      <c r="G29" s="22"/>
      <c r="H29"/>
      <c r="K29"/>
      <c r="M29"/>
      <c r="P29"/>
    </row>
    <row r="30" spans="1:16" s="1" customFormat="1" x14ac:dyDescent="0.3">
      <c r="B30" s="69" t="s">
        <v>150</v>
      </c>
      <c r="C30" s="69"/>
      <c r="D30" s="98"/>
      <c r="E30"/>
      <c r="F30" s="1">
        <f>47000-D30</f>
        <v>47000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160</v>
      </c>
      <c r="C31" s="64"/>
      <c r="D31" s="79">
        <f>1450*5</f>
        <v>7250</v>
      </c>
      <c r="E31"/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69" t="s">
        <v>161</v>
      </c>
      <c r="C32" s="69"/>
      <c r="D32" s="98"/>
      <c r="E32"/>
      <c r="G32" s="22"/>
      <c r="K32"/>
      <c r="M32"/>
      <c r="P32"/>
    </row>
    <row r="33" spans="1:16" s="1" customFormat="1" x14ac:dyDescent="0.3">
      <c r="B33" s="64" t="s">
        <v>195</v>
      </c>
      <c r="C33" s="90">
        <v>20000</v>
      </c>
      <c r="D33" s="86"/>
      <c r="E33"/>
      <c r="G33" s="22"/>
      <c r="K33"/>
      <c r="M33"/>
      <c r="P33"/>
    </row>
    <row r="34" spans="1:16" s="1" customFormat="1" x14ac:dyDescent="0.3">
      <c r="B34" s="69" t="s">
        <v>143</v>
      </c>
      <c r="C34" s="69">
        <v>10452</v>
      </c>
      <c r="D34" s="98"/>
      <c r="E34"/>
      <c r="G34" s="22"/>
      <c r="K34"/>
      <c r="M34"/>
      <c r="P34"/>
    </row>
    <row r="35" spans="1:16" s="1" customFormat="1" x14ac:dyDescent="0.3">
      <c r="B35" s="64" t="s">
        <v>19</v>
      </c>
      <c r="C35" s="64"/>
      <c r="D35" s="86"/>
      <c r="E35">
        <f>C35</f>
        <v>0</v>
      </c>
      <c r="G35" s="22"/>
      <c r="K35"/>
      <c r="M35"/>
      <c r="P35"/>
    </row>
    <row r="36" spans="1:16" s="1" customFormat="1" x14ac:dyDescent="0.3">
      <c r="B36" s="69" t="s">
        <v>196</v>
      </c>
      <c r="C36" s="69">
        <v>2400</v>
      </c>
      <c r="D36" s="98"/>
      <c r="E36"/>
      <c r="G36" s="22"/>
      <c r="K36"/>
      <c r="M36"/>
      <c r="P36"/>
    </row>
    <row r="37" spans="1:16" x14ac:dyDescent="0.3">
      <c r="B37" s="65"/>
      <c r="C37" s="67">
        <f>SUM(C7:C36)</f>
        <v>197583.924</v>
      </c>
      <c r="D37" s="105">
        <f>SUM(D7:D36)</f>
        <v>122064.87</v>
      </c>
      <c r="E37">
        <f>SUM(E7:E35)</f>
        <v>0</v>
      </c>
      <c r="F37" s="15">
        <f>SUM(F7:F33)</f>
        <v>134773.79999999999</v>
      </c>
    </row>
    <row r="38" spans="1:16" x14ac:dyDescent="0.3">
      <c r="B38" s="70"/>
      <c r="C38" s="91"/>
      <c r="D38" s="98"/>
      <c r="E38"/>
    </row>
    <row r="39" spans="1:16" s="1" customFormat="1" x14ac:dyDescent="0.3">
      <c r="A39"/>
      <c r="B39" s="206" t="s">
        <v>429</v>
      </c>
      <c r="C39" s="34"/>
      <c r="E39"/>
      <c r="G39" s="8"/>
      <c r="K39"/>
      <c r="M39"/>
      <c r="P39"/>
    </row>
    <row r="40" spans="1:16" s="1" customFormat="1" x14ac:dyDescent="0.3">
      <c r="A40"/>
      <c r="B40" s="186" t="s">
        <v>195</v>
      </c>
      <c r="C40" s="204">
        <v>20000</v>
      </c>
      <c r="E40"/>
      <c r="G40" s="8"/>
      <c r="K40"/>
      <c r="M40"/>
      <c r="P40"/>
    </row>
    <row r="41" spans="1:16" s="1" customFormat="1" x14ac:dyDescent="0.3">
      <c r="A41"/>
      <c r="B41" s="208" t="s">
        <v>143</v>
      </c>
      <c r="C41" s="236">
        <v>18000</v>
      </c>
      <c r="E41"/>
      <c r="G41" s="8"/>
      <c r="K41"/>
      <c r="M41"/>
      <c r="P41"/>
    </row>
    <row r="42" spans="1:16" s="1" customFormat="1" x14ac:dyDescent="0.3">
      <c r="B42" s="192" t="s">
        <v>55</v>
      </c>
      <c r="C42" s="236">
        <v>28500</v>
      </c>
      <c r="E42"/>
      <c r="G42" s="8"/>
      <c r="K42"/>
      <c r="M42"/>
    </row>
    <row r="43" spans="1:16" s="1" customFormat="1" x14ac:dyDescent="0.3">
      <c r="A43"/>
      <c r="B43" s="195"/>
      <c r="C43" s="237">
        <f>SUM(C40:C42)</f>
        <v>66500</v>
      </c>
      <c r="E43"/>
      <c r="G43" s="8"/>
      <c r="K43"/>
      <c r="M43"/>
      <c r="P43"/>
    </row>
    <row r="44" spans="1:16" s="1" customFormat="1" x14ac:dyDescent="0.3">
      <c r="B44"/>
      <c r="C44" s="34"/>
      <c r="E44" s="38"/>
      <c r="G44" s="8"/>
      <c r="K44"/>
      <c r="M44"/>
    </row>
    <row r="45" spans="1:16" s="1" customFormat="1" x14ac:dyDescent="0.3">
      <c r="B45"/>
      <c r="E45" s="8"/>
      <c r="G45" s="8"/>
      <c r="K45"/>
      <c r="M45"/>
    </row>
    <row r="46" spans="1:16" s="1" customFormat="1" x14ac:dyDescent="0.3">
      <c r="B46"/>
      <c r="E46" s="8"/>
      <c r="G46" s="8"/>
      <c r="K46"/>
      <c r="M46"/>
    </row>
  </sheetData>
  <mergeCells count="1">
    <mergeCell ref="P1:Q1"/>
  </mergeCells>
  <conditionalFormatting sqref="Q6">
    <cfRule type="cellIs" dxfId="23" priority="1" operator="lessThan">
      <formula>0</formula>
    </cfRule>
  </conditionalFormatting>
  <conditionalFormatting sqref="Q6">
    <cfRule type="cellIs" dxfId="2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49FC-EB61-48B1-9513-4C9A8AAFE4B7}">
  <dimension ref="A1:Q4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4.6640625" style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448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C36</f>
        <v>66360.100000000006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D36</f>
        <v>266109.90000000002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328790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I25</f>
        <v>18950</v>
      </c>
    </row>
    <row r="6" spans="1:17" ht="17.399999999999999" x14ac:dyDescent="0.35">
      <c r="B6" s="68" t="s">
        <v>197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243479.9</v>
      </c>
    </row>
    <row r="7" spans="1:17" x14ac:dyDescent="0.3">
      <c r="B7" s="65" t="s">
        <v>30</v>
      </c>
      <c r="C7" s="90">
        <v>10000</v>
      </c>
      <c r="D7" s="107">
        <f>110000-C7</f>
        <v>100000</v>
      </c>
      <c r="E7"/>
      <c r="H7" s="123" t="s">
        <v>172</v>
      </c>
      <c r="I7" s="125">
        <v>199760</v>
      </c>
      <c r="M7" s="2" t="s">
        <v>198</v>
      </c>
    </row>
    <row r="8" spans="1:17" x14ac:dyDescent="0.3">
      <c r="B8" s="70" t="s">
        <v>199</v>
      </c>
      <c r="C8" s="69">
        <f>3900+6900</f>
        <v>10800</v>
      </c>
      <c r="D8" s="98">
        <f>3900+6900</f>
        <v>10800</v>
      </c>
      <c r="E8"/>
      <c r="H8" s="123" t="s">
        <v>179</v>
      </c>
      <c r="I8" s="125">
        <f>258060/2</f>
        <v>129030</v>
      </c>
      <c r="L8"/>
    </row>
    <row r="9" spans="1:17" x14ac:dyDescent="0.3">
      <c r="B9" s="65" t="s">
        <v>41</v>
      </c>
      <c r="C9" s="90">
        <v>10000</v>
      </c>
      <c r="D9" s="107">
        <f>I25-C9</f>
        <v>8950</v>
      </c>
      <c r="E9"/>
      <c r="H9" s="123" t="s">
        <v>187</v>
      </c>
      <c r="I9" s="125"/>
      <c r="L9"/>
      <c r="M9" t="s">
        <v>200</v>
      </c>
      <c r="N9" s="1">
        <v>5000</v>
      </c>
    </row>
    <row r="10" spans="1:17" x14ac:dyDescent="0.3">
      <c r="B10" s="70" t="s">
        <v>2</v>
      </c>
      <c r="C10" s="69"/>
      <c r="D10" s="98">
        <v>35000</v>
      </c>
      <c r="E10"/>
      <c r="H10" s="123"/>
      <c r="I10" s="125"/>
      <c r="L10"/>
      <c r="M10" t="s">
        <v>201</v>
      </c>
      <c r="N10" s="1">
        <v>8120</v>
      </c>
    </row>
    <row r="11" spans="1:17" x14ac:dyDescent="0.3">
      <c r="B11" s="65" t="s">
        <v>2</v>
      </c>
      <c r="C11" s="72"/>
      <c r="D11" s="86"/>
      <c r="E11"/>
      <c r="H11" s="126"/>
      <c r="I11" s="127">
        <f>SUM(I7:I10)</f>
        <v>328790</v>
      </c>
      <c r="L11"/>
      <c r="M11" t="s">
        <v>202</v>
      </c>
      <c r="N11" s="1">
        <v>1000</v>
      </c>
    </row>
    <row r="12" spans="1:17" x14ac:dyDescent="0.3">
      <c r="B12" s="70" t="s">
        <v>188</v>
      </c>
      <c r="C12" s="69"/>
      <c r="D12" s="98">
        <v>7467.5</v>
      </c>
      <c r="E12"/>
      <c r="H12" s="1" t="s">
        <v>99</v>
      </c>
      <c r="I12" s="32">
        <f>I11-C36-D36</f>
        <v>-3680</v>
      </c>
      <c r="L12"/>
      <c r="M12" t="s">
        <v>203</v>
      </c>
      <c r="N12" s="1">
        <v>500</v>
      </c>
    </row>
    <row r="13" spans="1:17" x14ac:dyDescent="0.3">
      <c r="B13" s="83" t="s">
        <v>37</v>
      </c>
      <c r="C13" s="72"/>
      <c r="D13" s="107">
        <v>10000</v>
      </c>
      <c r="E13"/>
      <c r="L13" s="41">
        <v>46099</v>
      </c>
      <c r="M13" t="s">
        <v>203</v>
      </c>
      <c r="N13" s="1">
        <v>1000</v>
      </c>
    </row>
    <row r="14" spans="1:17" x14ac:dyDescent="0.3">
      <c r="B14" s="70" t="s">
        <v>7</v>
      </c>
      <c r="C14" s="69">
        <v>3828</v>
      </c>
      <c r="D14" s="98"/>
      <c r="E14"/>
      <c r="F14" s="8"/>
      <c r="L14" s="41">
        <v>46100</v>
      </c>
      <c r="M14" t="s">
        <v>204</v>
      </c>
      <c r="N14" s="1">
        <v>1500</v>
      </c>
    </row>
    <row r="15" spans="1:17" x14ac:dyDescent="0.3">
      <c r="B15" s="65" t="s">
        <v>38</v>
      </c>
      <c r="C15" s="72"/>
      <c r="D15" s="86"/>
      <c r="E15"/>
      <c r="H15" s="129" t="s">
        <v>193</v>
      </c>
      <c r="I15" s="124"/>
      <c r="L15" s="41">
        <v>46100</v>
      </c>
      <c r="M15" t="s">
        <v>204</v>
      </c>
      <c r="N15" s="1">
        <v>1000</v>
      </c>
    </row>
    <row r="16" spans="1:17" x14ac:dyDescent="0.3">
      <c r="B16" s="70" t="s">
        <v>102</v>
      </c>
      <c r="C16" s="69"/>
      <c r="D16" s="98"/>
      <c r="E16"/>
      <c r="F16" s="8">
        <v>8526</v>
      </c>
      <c r="H16" s="130" t="s">
        <v>59</v>
      </c>
      <c r="I16" s="125">
        <v>4000</v>
      </c>
      <c r="L16" s="41">
        <v>46101</v>
      </c>
      <c r="M16" t="s">
        <v>205</v>
      </c>
      <c r="N16" s="1">
        <v>1000</v>
      </c>
    </row>
    <row r="17" spans="1:16" x14ac:dyDescent="0.3">
      <c r="B17" s="65" t="s">
        <v>206</v>
      </c>
      <c r="C17" s="90">
        <f>9000+4500+1000</f>
        <v>14500</v>
      </c>
      <c r="D17" s="86"/>
      <c r="E17"/>
      <c r="H17" s="130" t="s">
        <v>61</v>
      </c>
      <c r="I17" s="125">
        <v>3500</v>
      </c>
      <c r="N17" s="3">
        <f>SUM(N9:N16)</f>
        <v>19120</v>
      </c>
    </row>
    <row r="18" spans="1:16" x14ac:dyDescent="0.3">
      <c r="B18" s="70" t="s">
        <v>48</v>
      </c>
      <c r="C18" s="69"/>
      <c r="D18" s="98"/>
      <c r="E18"/>
      <c r="H18" s="130" t="s">
        <v>158</v>
      </c>
      <c r="I18" s="125">
        <v>1500</v>
      </c>
    </row>
    <row r="19" spans="1:16" x14ac:dyDescent="0.3">
      <c r="B19" s="65" t="s">
        <v>49</v>
      </c>
      <c r="C19" s="72"/>
      <c r="D19" s="86"/>
      <c r="E19"/>
      <c r="F19" s="28">
        <v>49247.8</v>
      </c>
      <c r="H19" s="130" t="s">
        <v>62</v>
      </c>
      <c r="I19" s="125">
        <v>1950</v>
      </c>
    </row>
    <row r="20" spans="1:16" x14ac:dyDescent="0.3">
      <c r="B20" s="70" t="s">
        <v>51</v>
      </c>
      <c r="C20" s="69"/>
      <c r="D20" s="98"/>
      <c r="E20"/>
      <c r="H20" s="130" t="s">
        <v>19</v>
      </c>
      <c r="I20" s="125">
        <v>4000</v>
      </c>
    </row>
    <row r="21" spans="1:16" x14ac:dyDescent="0.3">
      <c r="B21" s="65" t="s">
        <v>52</v>
      </c>
      <c r="C21" s="72"/>
      <c r="D21" s="86"/>
      <c r="E21"/>
      <c r="H21" s="130" t="s">
        <v>143</v>
      </c>
      <c r="I21" s="125">
        <v>4000</v>
      </c>
    </row>
    <row r="22" spans="1:16" x14ac:dyDescent="0.3">
      <c r="B22" s="70" t="s">
        <v>107</v>
      </c>
      <c r="C22" s="69">
        <f>(C7+C8+C9+D7+D8+D9)*0.042</f>
        <v>6323.1</v>
      </c>
      <c r="D22" s="98"/>
      <c r="E22"/>
      <c r="H22" s="130"/>
      <c r="I22" s="125"/>
    </row>
    <row r="23" spans="1:16" x14ac:dyDescent="0.3">
      <c r="A23" s="1"/>
      <c r="B23" s="65" t="s">
        <v>175</v>
      </c>
      <c r="C23" s="90">
        <v>3410</v>
      </c>
      <c r="D23" s="86"/>
      <c r="E23"/>
      <c r="F23" s="8"/>
      <c r="H23" s="123"/>
      <c r="I23" s="125"/>
    </row>
    <row r="24" spans="1:16" x14ac:dyDescent="0.3">
      <c r="A24" s="1"/>
      <c r="B24" s="69" t="s">
        <v>194</v>
      </c>
      <c r="C24" s="69"/>
      <c r="D24" s="98"/>
      <c r="E24"/>
      <c r="H24" s="130"/>
      <c r="I24" s="125"/>
    </row>
    <row r="25" spans="1:16" s="1" customFormat="1" x14ac:dyDescent="0.3">
      <c r="B25" s="64" t="s">
        <v>170</v>
      </c>
      <c r="C25" s="72"/>
      <c r="D25" s="79">
        <v>61642.400000000001</v>
      </c>
      <c r="E25"/>
      <c r="G25" s="8"/>
      <c r="H25" s="131"/>
      <c r="I25" s="132">
        <f>SUM(I15:I24)</f>
        <v>18950</v>
      </c>
      <c r="K25"/>
      <c r="M25"/>
      <c r="P25"/>
    </row>
    <row r="26" spans="1:16" s="1" customFormat="1" x14ac:dyDescent="0.3">
      <c r="B26" s="69" t="s">
        <v>114</v>
      </c>
      <c r="C26" s="69"/>
      <c r="D26" s="98"/>
      <c r="E26"/>
      <c r="G26" s="8"/>
      <c r="H26"/>
      <c r="K26"/>
      <c r="M26"/>
      <c r="P26"/>
    </row>
    <row r="27" spans="1:16" s="1" customFormat="1" x14ac:dyDescent="0.3">
      <c r="B27" s="72" t="s">
        <v>132</v>
      </c>
      <c r="C27" s="72"/>
      <c r="D27" s="86"/>
      <c r="E27"/>
      <c r="G27" s="8"/>
      <c r="H27"/>
      <c r="K27"/>
      <c r="M27"/>
      <c r="P27"/>
    </row>
    <row r="28" spans="1:16" s="1" customFormat="1" x14ac:dyDescent="0.3">
      <c r="B28" s="69" t="s">
        <v>1</v>
      </c>
      <c r="C28" s="69"/>
      <c r="D28" s="98">
        <v>25000</v>
      </c>
      <c r="E28"/>
      <c r="G28" s="22"/>
      <c r="H28"/>
      <c r="K28"/>
      <c r="M28"/>
      <c r="P28"/>
    </row>
    <row r="29" spans="1:16" s="1" customFormat="1" x14ac:dyDescent="0.3">
      <c r="B29" s="64" t="s">
        <v>150</v>
      </c>
      <c r="C29" s="72"/>
      <c r="D29" s="86"/>
      <c r="E29"/>
      <c r="G29" s="22"/>
      <c r="H29"/>
      <c r="K29"/>
      <c r="M29"/>
      <c r="P29"/>
    </row>
    <row r="30" spans="1:16" s="1" customFormat="1" x14ac:dyDescent="0.3">
      <c r="B30" s="69" t="s">
        <v>160</v>
      </c>
      <c r="C30" s="69"/>
      <c r="D30" s="98">
        <f>1450*5</f>
        <v>7250</v>
      </c>
      <c r="E30"/>
      <c r="F30" s="16">
        <v>30000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161</v>
      </c>
      <c r="C31" s="72"/>
      <c r="D31" s="86"/>
      <c r="E31"/>
      <c r="F31" s="1">
        <f>47000-D29</f>
        <v>47000</v>
      </c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69" t="s">
        <v>195</v>
      </c>
      <c r="C32" s="69"/>
      <c r="D32" s="98"/>
      <c r="E32"/>
      <c r="F32" s="8">
        <v>20000</v>
      </c>
      <c r="G32" s="22"/>
      <c r="K32"/>
      <c r="M32"/>
      <c r="P32"/>
    </row>
    <row r="33" spans="1:16" s="1" customFormat="1" x14ac:dyDescent="0.3">
      <c r="B33" s="64" t="s">
        <v>143</v>
      </c>
      <c r="C33" s="72"/>
      <c r="D33" s="86"/>
      <c r="E33"/>
      <c r="G33" s="22"/>
      <c r="K33"/>
      <c r="M33"/>
      <c r="P33"/>
    </row>
    <row r="34" spans="1:16" s="1" customFormat="1" x14ac:dyDescent="0.3">
      <c r="B34" s="69" t="s">
        <v>19</v>
      </c>
      <c r="C34" s="69"/>
      <c r="D34" s="98"/>
      <c r="E34">
        <f>C34</f>
        <v>0</v>
      </c>
      <c r="G34" s="22"/>
      <c r="K34"/>
      <c r="M34"/>
      <c r="P34"/>
    </row>
    <row r="35" spans="1:16" s="1" customFormat="1" x14ac:dyDescent="0.3">
      <c r="B35" s="64" t="s">
        <v>207</v>
      </c>
      <c r="C35" s="90">
        <v>7499</v>
      </c>
      <c r="D35" s="86"/>
      <c r="E35"/>
      <c r="G35" s="22"/>
      <c r="K35"/>
      <c r="M35"/>
      <c r="P35"/>
    </row>
    <row r="36" spans="1:16" s="1" customFormat="1" x14ac:dyDescent="0.3">
      <c r="A36"/>
      <c r="B36" s="70"/>
      <c r="C36" s="71">
        <f>SUM(C7:C35)</f>
        <v>66360.100000000006</v>
      </c>
      <c r="D36" s="101">
        <f>SUM(D7:D35)</f>
        <v>266109.90000000002</v>
      </c>
      <c r="E36"/>
      <c r="F36" s="15">
        <f>SUM(F7:F34)</f>
        <v>154773.79999999999</v>
      </c>
      <c r="G36" s="22"/>
      <c r="K36"/>
      <c r="M36"/>
      <c r="P36"/>
    </row>
    <row r="37" spans="1:16" x14ac:dyDescent="0.3">
      <c r="B37" s="65"/>
      <c r="C37" s="88"/>
      <c r="D37" s="79"/>
      <c r="E37"/>
    </row>
    <row r="38" spans="1:16" x14ac:dyDescent="0.3">
      <c r="B38" s="206" t="s">
        <v>429</v>
      </c>
      <c r="C38" s="34"/>
      <c r="E38"/>
    </row>
    <row r="39" spans="1:16" s="1" customFormat="1" x14ac:dyDescent="0.3">
      <c r="A39"/>
      <c r="B39" s="186" t="s">
        <v>195</v>
      </c>
      <c r="C39" s="204">
        <v>20000</v>
      </c>
      <c r="E39"/>
      <c r="G39" s="8"/>
      <c r="K39"/>
      <c r="M39"/>
      <c r="P39"/>
    </row>
    <row r="40" spans="1:16" s="1" customFormat="1" x14ac:dyDescent="0.3">
      <c r="A40"/>
      <c r="B40" s="208" t="s">
        <v>143</v>
      </c>
      <c r="C40" s="236">
        <v>18000</v>
      </c>
      <c r="E40"/>
      <c r="G40" s="8"/>
      <c r="K40"/>
      <c r="M40"/>
      <c r="P40"/>
    </row>
    <row r="41" spans="1:16" s="1" customFormat="1" x14ac:dyDescent="0.3">
      <c r="B41" s="192" t="s">
        <v>55</v>
      </c>
      <c r="C41" s="236">
        <v>28500</v>
      </c>
      <c r="E41"/>
      <c r="G41" s="8"/>
      <c r="K41"/>
      <c r="M41"/>
      <c r="P41"/>
    </row>
    <row r="42" spans="1:16" s="1" customFormat="1" x14ac:dyDescent="0.3">
      <c r="A42"/>
      <c r="B42" s="195"/>
      <c r="C42" s="237">
        <f>SUM(C39:C41)</f>
        <v>66500</v>
      </c>
      <c r="E42"/>
      <c r="G42" s="8"/>
      <c r="K42"/>
      <c r="M42"/>
    </row>
    <row r="43" spans="1:16" s="1" customFormat="1" x14ac:dyDescent="0.3">
      <c r="B43"/>
      <c r="C43" s="34"/>
      <c r="E43" s="38"/>
      <c r="G43" s="8"/>
      <c r="K43"/>
      <c r="M43"/>
      <c r="P43"/>
    </row>
    <row r="44" spans="1:16" s="1" customFormat="1" x14ac:dyDescent="0.3">
      <c r="B44"/>
      <c r="E44" s="8"/>
      <c r="G44" s="8"/>
      <c r="K44"/>
      <c r="M44"/>
    </row>
    <row r="45" spans="1:16" s="1" customFormat="1" x14ac:dyDescent="0.3">
      <c r="B45"/>
      <c r="E45" s="8"/>
      <c r="G45" s="8"/>
      <c r="K45"/>
      <c r="M45"/>
    </row>
    <row r="46" spans="1:16" s="1" customFormat="1" x14ac:dyDescent="0.3">
      <c r="A46"/>
      <c r="B46"/>
      <c r="E46" s="8"/>
      <c r="G46" s="8"/>
      <c r="K46"/>
      <c r="M46"/>
    </row>
  </sheetData>
  <mergeCells count="1">
    <mergeCell ref="P1:Q1"/>
  </mergeCells>
  <conditionalFormatting sqref="Q6">
    <cfRule type="cellIs" dxfId="21" priority="1" operator="lessThan">
      <formula>0</formula>
    </cfRule>
  </conditionalFormatting>
  <conditionalFormatting sqref="Q6">
    <cfRule type="cellIs" dxfId="2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7B42-6F0C-401C-A8DB-7726D1F79D28}">
  <dimension ref="A1:Q4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448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C36</f>
        <v>203156.91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D36</f>
        <v>113892.4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203456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I25</f>
        <v>16950</v>
      </c>
    </row>
    <row r="6" spans="1:17" ht="17.399999999999999" x14ac:dyDescent="0.35">
      <c r="B6" s="68" t="s">
        <v>208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-16650.910000000003</v>
      </c>
    </row>
    <row r="7" spans="1:17" x14ac:dyDescent="0.3">
      <c r="B7" s="65" t="s">
        <v>30</v>
      </c>
      <c r="C7" s="90">
        <v>100000</v>
      </c>
      <c r="D7" s="86"/>
      <c r="E7"/>
      <c r="H7" s="123" t="s">
        <v>172</v>
      </c>
      <c r="I7" s="125"/>
      <c r="J7" s="1">
        <v>33079</v>
      </c>
      <c r="M7" s="2" t="s">
        <v>198</v>
      </c>
    </row>
    <row r="8" spans="1:17" x14ac:dyDescent="0.3">
      <c r="B8" s="70" t="s">
        <v>199</v>
      </c>
      <c r="C8" s="69">
        <f>3900+6900</f>
        <v>10800</v>
      </c>
      <c r="D8" s="98"/>
      <c r="E8"/>
      <c r="H8" s="123" t="s">
        <v>179</v>
      </c>
      <c r="I8" s="125">
        <v>203456</v>
      </c>
      <c r="L8"/>
    </row>
    <row r="9" spans="1:17" x14ac:dyDescent="0.3">
      <c r="B9" s="65" t="s">
        <v>41</v>
      </c>
      <c r="C9" s="90">
        <f>I25</f>
        <v>16950</v>
      </c>
      <c r="D9" s="86"/>
      <c r="E9"/>
      <c r="H9" s="123" t="s">
        <v>187</v>
      </c>
      <c r="I9" s="125"/>
      <c r="L9"/>
      <c r="M9" t="s">
        <v>200</v>
      </c>
      <c r="N9" s="1">
        <v>5000</v>
      </c>
    </row>
    <row r="10" spans="1:17" x14ac:dyDescent="0.3">
      <c r="B10" s="70" t="s">
        <v>2</v>
      </c>
      <c r="C10" s="69"/>
      <c r="D10" s="98"/>
      <c r="E10"/>
      <c r="H10" s="123"/>
      <c r="I10" s="125"/>
      <c r="L10"/>
      <c r="M10" t="s">
        <v>201</v>
      </c>
      <c r="N10" s="1">
        <v>8120</v>
      </c>
    </row>
    <row r="11" spans="1:17" x14ac:dyDescent="0.3">
      <c r="B11" s="65" t="s">
        <v>2</v>
      </c>
      <c r="C11" s="72"/>
      <c r="D11" s="86"/>
      <c r="E11"/>
      <c r="H11" s="126"/>
      <c r="I11" s="127">
        <f>SUM(I7:I10)</f>
        <v>203456</v>
      </c>
      <c r="L11"/>
      <c r="M11" t="s">
        <v>202</v>
      </c>
      <c r="N11" s="1">
        <v>1000</v>
      </c>
    </row>
    <row r="12" spans="1:17" x14ac:dyDescent="0.3">
      <c r="B12" s="70" t="s">
        <v>188</v>
      </c>
      <c r="C12" s="69"/>
      <c r="D12" s="98"/>
      <c r="E12"/>
      <c r="H12" s="1" t="s">
        <v>99</v>
      </c>
      <c r="I12" s="32">
        <f>I11-C36</f>
        <v>299.08999999999651</v>
      </c>
      <c r="L12"/>
      <c r="M12" t="s">
        <v>203</v>
      </c>
      <c r="N12" s="1">
        <v>500</v>
      </c>
    </row>
    <row r="13" spans="1:17" x14ac:dyDescent="0.3">
      <c r="B13" s="83" t="s">
        <v>37</v>
      </c>
      <c r="C13" s="90">
        <v>10000</v>
      </c>
      <c r="D13" s="86"/>
      <c r="E13"/>
      <c r="L13" s="41">
        <v>46099</v>
      </c>
      <c r="M13" t="s">
        <v>203</v>
      </c>
      <c r="N13" s="1">
        <v>1000</v>
      </c>
    </row>
    <row r="14" spans="1:17" x14ac:dyDescent="0.3">
      <c r="B14" s="70" t="s">
        <v>7</v>
      </c>
      <c r="C14" s="69"/>
      <c r="D14" s="98"/>
      <c r="E14"/>
      <c r="F14" s="8"/>
      <c r="L14" s="41">
        <v>46100</v>
      </c>
      <c r="M14" t="s">
        <v>204</v>
      </c>
      <c r="N14" s="1">
        <v>1500</v>
      </c>
    </row>
    <row r="15" spans="1:17" x14ac:dyDescent="0.3">
      <c r="B15" s="65" t="s">
        <v>38</v>
      </c>
      <c r="C15" s="72"/>
      <c r="D15" s="86"/>
      <c r="E15"/>
      <c r="H15" s="129" t="s">
        <v>193</v>
      </c>
      <c r="I15" s="124"/>
      <c r="L15" s="41">
        <v>46100</v>
      </c>
      <c r="M15" t="s">
        <v>204</v>
      </c>
      <c r="N15" s="1">
        <v>1000</v>
      </c>
    </row>
    <row r="16" spans="1:17" x14ac:dyDescent="0.3">
      <c r="B16" s="70" t="s">
        <v>102</v>
      </c>
      <c r="C16" s="69"/>
      <c r="D16" s="98"/>
      <c r="E16"/>
      <c r="F16" s="8">
        <v>8526</v>
      </c>
      <c r="H16" s="130" t="s">
        <v>59</v>
      </c>
      <c r="I16" s="125">
        <v>4000</v>
      </c>
      <c r="L16" s="41">
        <v>46101</v>
      </c>
      <c r="M16" t="s">
        <v>205</v>
      </c>
      <c r="N16" s="1">
        <v>1000</v>
      </c>
    </row>
    <row r="17" spans="1:16" x14ac:dyDescent="0.3">
      <c r="B17" s="65" t="s">
        <v>209</v>
      </c>
      <c r="C17" s="90">
        <v>2501.41</v>
      </c>
      <c r="D17" s="86"/>
      <c r="E17"/>
      <c r="H17" s="130" t="s">
        <v>61</v>
      </c>
      <c r="I17" s="125">
        <v>4000</v>
      </c>
      <c r="N17" s="3">
        <f>SUM(N9:N16)</f>
        <v>19120</v>
      </c>
    </row>
    <row r="18" spans="1:16" x14ac:dyDescent="0.3">
      <c r="B18" s="70" t="s">
        <v>48</v>
      </c>
      <c r="C18" s="69"/>
      <c r="D18" s="98"/>
      <c r="E18"/>
      <c r="H18" s="130" t="s">
        <v>158</v>
      </c>
      <c r="I18" s="125">
        <v>1000</v>
      </c>
    </row>
    <row r="19" spans="1:16" x14ac:dyDescent="0.3">
      <c r="B19" s="65" t="s">
        <v>49</v>
      </c>
      <c r="C19" s="72"/>
      <c r="D19" s="86"/>
      <c r="E19"/>
      <c r="F19" s="28">
        <v>49247.8</v>
      </c>
      <c r="H19" s="130" t="s">
        <v>62</v>
      </c>
      <c r="I19" s="125">
        <v>1950</v>
      </c>
    </row>
    <row r="20" spans="1:16" x14ac:dyDescent="0.3">
      <c r="B20" s="70" t="s">
        <v>51</v>
      </c>
      <c r="C20" s="69"/>
      <c r="D20" s="98"/>
      <c r="E20"/>
      <c r="H20" s="130" t="s">
        <v>19</v>
      </c>
      <c r="I20" s="125">
        <v>3000</v>
      </c>
    </row>
    <row r="21" spans="1:16" x14ac:dyDescent="0.3">
      <c r="B21" s="65" t="s">
        <v>52</v>
      </c>
      <c r="C21" s="72"/>
      <c r="D21" s="86"/>
      <c r="E21"/>
      <c r="H21" s="130" t="s">
        <v>143</v>
      </c>
      <c r="I21" s="125">
        <v>3000</v>
      </c>
    </row>
    <row r="22" spans="1:16" x14ac:dyDescent="0.3">
      <c r="B22" s="70" t="s">
        <v>107</v>
      </c>
      <c r="C22" s="69">
        <f>(C7+C8+C9+D7+D8+D9)*0.042</f>
        <v>5365.5</v>
      </c>
      <c r="D22" s="98"/>
      <c r="E22"/>
      <c r="H22" s="130"/>
      <c r="I22" s="125"/>
    </row>
    <row r="23" spans="1:16" x14ac:dyDescent="0.3">
      <c r="A23" s="1"/>
      <c r="B23" s="65" t="s">
        <v>175</v>
      </c>
      <c r="C23" s="72"/>
      <c r="D23" s="86"/>
      <c r="E23"/>
      <c r="F23" s="8"/>
      <c r="H23" s="123"/>
      <c r="I23" s="125"/>
    </row>
    <row r="24" spans="1:16" x14ac:dyDescent="0.3">
      <c r="A24" s="1"/>
      <c r="B24" s="69" t="s">
        <v>194</v>
      </c>
      <c r="C24" s="69"/>
      <c r="D24" s="98"/>
      <c r="E24"/>
      <c r="H24" s="130"/>
      <c r="I24" s="125"/>
    </row>
    <row r="25" spans="1:16" s="1" customFormat="1" x14ac:dyDescent="0.3">
      <c r="B25" s="64" t="s">
        <v>170</v>
      </c>
      <c r="C25" s="72"/>
      <c r="D25" s="86">
        <f>57002.4+4640</f>
        <v>61642.400000000001</v>
      </c>
      <c r="E25"/>
      <c r="G25" s="8"/>
      <c r="H25" s="131"/>
      <c r="I25" s="132">
        <f>SUM(I15:I24)</f>
        <v>16950</v>
      </c>
      <c r="K25"/>
      <c r="L25" s="1">
        <f>17+5+13</f>
        <v>35</v>
      </c>
      <c r="M25"/>
      <c r="P25"/>
    </row>
    <row r="26" spans="1:16" s="1" customFormat="1" x14ac:dyDescent="0.3">
      <c r="B26" s="69" t="s">
        <v>114</v>
      </c>
      <c r="C26" s="69"/>
      <c r="D26" s="98"/>
      <c r="E26"/>
      <c r="G26" s="8"/>
      <c r="H26"/>
      <c r="K26"/>
      <c r="L26" s="1">
        <v>57</v>
      </c>
      <c r="M26"/>
      <c r="P26"/>
    </row>
    <row r="27" spans="1:16" s="1" customFormat="1" x14ac:dyDescent="0.3">
      <c r="B27" s="72" t="s">
        <v>132</v>
      </c>
      <c r="C27" s="72"/>
      <c r="D27" s="86"/>
      <c r="E27"/>
      <c r="G27" s="8"/>
      <c r="H27"/>
      <c r="K27"/>
      <c r="L27" s="1">
        <f>SUM(L25:L26)</f>
        <v>92</v>
      </c>
      <c r="M27"/>
      <c r="P27"/>
    </row>
    <row r="28" spans="1:16" s="1" customFormat="1" x14ac:dyDescent="0.3">
      <c r="B28" s="69" t="s">
        <v>1</v>
      </c>
      <c r="C28" s="69"/>
      <c r="D28" s="98">
        <v>25000</v>
      </c>
      <c r="E28"/>
      <c r="G28" s="22"/>
      <c r="H28"/>
      <c r="K28"/>
      <c r="M28"/>
      <c r="P28"/>
    </row>
    <row r="29" spans="1:16" s="1" customFormat="1" x14ac:dyDescent="0.3">
      <c r="B29" s="64" t="s">
        <v>150</v>
      </c>
      <c r="C29" s="72"/>
      <c r="D29" s="86"/>
      <c r="E29"/>
      <c r="G29" s="22"/>
      <c r="H29"/>
      <c r="K29"/>
      <c r="M29"/>
      <c r="P29"/>
    </row>
    <row r="30" spans="1:16" s="1" customFormat="1" x14ac:dyDescent="0.3">
      <c r="B30" s="69" t="s">
        <v>160</v>
      </c>
      <c r="C30" s="69"/>
      <c r="D30" s="98">
        <f>1450*5</f>
        <v>7250</v>
      </c>
      <c r="E30"/>
      <c r="F30" s="16">
        <v>30000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161</v>
      </c>
      <c r="C31" s="72"/>
      <c r="D31" s="86"/>
      <c r="E31"/>
      <c r="F31" s="1">
        <f>47000-D29</f>
        <v>47000</v>
      </c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1" t="s">
        <v>195</v>
      </c>
      <c r="D32" s="8">
        <v>20000</v>
      </c>
      <c r="E32"/>
      <c r="G32" s="22"/>
      <c r="K32"/>
      <c r="M32"/>
      <c r="P32"/>
    </row>
    <row r="33" spans="1:16" s="1" customFormat="1" x14ac:dyDescent="0.3">
      <c r="B33" s="1" t="s">
        <v>143</v>
      </c>
      <c r="C33" s="8"/>
      <c r="D33" s="8"/>
      <c r="E33"/>
      <c r="G33" s="22"/>
      <c r="K33"/>
      <c r="M33"/>
      <c r="P33"/>
    </row>
    <row r="34" spans="1:16" s="1" customFormat="1" x14ac:dyDescent="0.3">
      <c r="B34" s="1" t="s">
        <v>210</v>
      </c>
      <c r="C34" s="39">
        <v>50000</v>
      </c>
      <c r="D34" s="8"/>
      <c r="E34"/>
      <c r="G34" s="22"/>
      <c r="K34"/>
      <c r="M34"/>
      <c r="P34"/>
    </row>
    <row r="35" spans="1:16" s="1" customFormat="1" x14ac:dyDescent="0.3">
      <c r="B35" s="1" t="s">
        <v>211</v>
      </c>
      <c r="C35" s="39">
        <v>7540</v>
      </c>
      <c r="D35" s="8"/>
      <c r="E35"/>
      <c r="G35" s="22"/>
      <c r="K35"/>
      <c r="M35"/>
      <c r="P35"/>
    </row>
    <row r="36" spans="1:16" s="1" customFormat="1" x14ac:dyDescent="0.3">
      <c r="A36"/>
      <c r="B36"/>
      <c r="C36" s="15">
        <f>SUM(C7:C35)</f>
        <v>203156.91</v>
      </c>
      <c r="D36" s="31">
        <f>SUM(D7:D35)</f>
        <v>113892.4</v>
      </c>
      <c r="E36"/>
      <c r="F36" s="15">
        <f>SUM(F7:F34)</f>
        <v>134773.79999999999</v>
      </c>
      <c r="G36" s="22"/>
      <c r="K36"/>
      <c r="M36"/>
      <c r="P36"/>
    </row>
    <row r="37" spans="1:16" x14ac:dyDescent="0.3">
      <c r="C37" s="34"/>
      <c r="E37" s="38"/>
    </row>
    <row r="38" spans="1:16" x14ac:dyDescent="0.3">
      <c r="C38" s="34"/>
      <c r="E38" s="38"/>
    </row>
    <row r="39" spans="1:16" s="1" customFormat="1" x14ac:dyDescent="0.3">
      <c r="A39"/>
      <c r="B39"/>
      <c r="C39" s="34"/>
      <c r="E39" s="38"/>
      <c r="G39" s="8"/>
      <c r="K39"/>
      <c r="M39"/>
      <c r="P39"/>
    </row>
    <row r="40" spans="1:16" s="1" customFormat="1" x14ac:dyDescent="0.3">
      <c r="A40"/>
      <c r="B40"/>
      <c r="C40" s="34"/>
      <c r="E40" s="38"/>
      <c r="G40" s="8"/>
      <c r="K40"/>
      <c r="M40"/>
      <c r="P40"/>
    </row>
    <row r="41" spans="1:16" s="1" customFormat="1" x14ac:dyDescent="0.3">
      <c r="B41"/>
      <c r="C41" s="34"/>
      <c r="E41" s="38"/>
      <c r="G41" s="8"/>
      <c r="K41"/>
      <c r="M41"/>
      <c r="P41"/>
    </row>
    <row r="42" spans="1:16" s="1" customFormat="1" x14ac:dyDescent="0.3">
      <c r="A42"/>
      <c r="B42"/>
      <c r="C42" s="34"/>
      <c r="E42" s="38"/>
      <c r="G42" s="8"/>
      <c r="K42"/>
      <c r="M42"/>
    </row>
    <row r="43" spans="1:16" s="1" customFormat="1" x14ac:dyDescent="0.3">
      <c r="B43"/>
      <c r="C43" s="34"/>
      <c r="E43" s="38"/>
      <c r="G43" s="8"/>
      <c r="K43"/>
      <c r="M43"/>
      <c r="P43"/>
    </row>
    <row r="44" spans="1:16" s="1" customFormat="1" x14ac:dyDescent="0.3">
      <c r="B44"/>
      <c r="C44" s="34"/>
      <c r="E44" s="38"/>
      <c r="G44" s="8"/>
      <c r="K44"/>
      <c r="M44"/>
    </row>
    <row r="45" spans="1:16" s="1" customFormat="1" x14ac:dyDescent="0.3">
      <c r="B45"/>
      <c r="C45" s="34"/>
      <c r="E45" s="38"/>
      <c r="G45" s="8"/>
      <c r="K45"/>
      <c r="M45"/>
    </row>
    <row r="46" spans="1:16" s="1" customFormat="1" x14ac:dyDescent="0.3">
      <c r="A46"/>
      <c r="B46"/>
      <c r="C46" s="34"/>
      <c r="E46" s="38"/>
      <c r="G46" s="8"/>
      <c r="K46"/>
      <c r="M46"/>
    </row>
  </sheetData>
  <mergeCells count="1">
    <mergeCell ref="P1:Q1"/>
  </mergeCells>
  <conditionalFormatting sqref="Q6">
    <cfRule type="cellIs" dxfId="19" priority="1" operator="lessThan">
      <formula>0</formula>
    </cfRule>
  </conditionalFormatting>
  <conditionalFormatting sqref="Q6">
    <cfRule type="cellIs" dxfId="18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6D21-B832-464C-A03D-32CE1C98D022}">
  <dimension ref="A1:Q4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448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C36</f>
        <v>148113.9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D36</f>
        <v>153892.4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132880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I23</f>
        <v>17950</v>
      </c>
    </row>
    <row r="6" spans="1:17" ht="17.399999999999999" x14ac:dyDescent="0.35">
      <c r="B6" s="68" t="s">
        <v>212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-33183.899999999994</v>
      </c>
    </row>
    <row r="7" spans="1:17" x14ac:dyDescent="0.3">
      <c r="B7" s="65" t="s">
        <v>30</v>
      </c>
      <c r="C7" s="90">
        <v>105000</v>
      </c>
      <c r="D7" s="86"/>
      <c r="E7"/>
      <c r="H7" s="123" t="s">
        <v>172</v>
      </c>
      <c r="I7" s="125">
        <f>199760/2</f>
        <v>99880</v>
      </c>
      <c r="J7" s="1">
        <v>33079</v>
      </c>
      <c r="M7" s="2" t="s">
        <v>198</v>
      </c>
    </row>
    <row r="8" spans="1:17" x14ac:dyDescent="0.3">
      <c r="B8" s="70" t="s">
        <v>199</v>
      </c>
      <c r="C8" s="69"/>
      <c r="D8" s="98"/>
      <c r="E8"/>
      <c r="H8" s="123" t="s">
        <v>179</v>
      </c>
      <c r="I8" s="125"/>
      <c r="L8"/>
    </row>
    <row r="9" spans="1:17" x14ac:dyDescent="0.3">
      <c r="B9" s="65" t="s">
        <v>41</v>
      </c>
      <c r="C9" s="90">
        <f>I23</f>
        <v>17950</v>
      </c>
      <c r="D9" s="86"/>
      <c r="E9"/>
      <c r="H9" s="123" t="s">
        <v>187</v>
      </c>
      <c r="I9" s="125">
        <v>33000</v>
      </c>
      <c r="L9"/>
      <c r="M9" t="s">
        <v>200</v>
      </c>
      <c r="N9" s="1">
        <v>5000</v>
      </c>
    </row>
    <row r="10" spans="1:17" x14ac:dyDescent="0.3">
      <c r="B10" s="70" t="s">
        <v>2</v>
      </c>
      <c r="C10" s="69"/>
      <c r="D10" s="98"/>
      <c r="E10"/>
      <c r="H10" s="123"/>
      <c r="I10" s="125"/>
      <c r="L10"/>
      <c r="M10" t="s">
        <v>201</v>
      </c>
      <c r="N10" s="1">
        <v>8120</v>
      </c>
    </row>
    <row r="11" spans="1:17" x14ac:dyDescent="0.3">
      <c r="B11" s="65" t="s">
        <v>2</v>
      </c>
      <c r="C11" s="72"/>
      <c r="D11" s="86"/>
      <c r="E11"/>
      <c r="H11" s="126"/>
      <c r="I11" s="127">
        <f>SUM(I7:I10)</f>
        <v>132880</v>
      </c>
      <c r="L11"/>
      <c r="M11" t="s">
        <v>202</v>
      </c>
      <c r="N11" s="1">
        <v>1000</v>
      </c>
    </row>
    <row r="12" spans="1:17" x14ac:dyDescent="0.3">
      <c r="B12" s="70" t="s">
        <v>188</v>
      </c>
      <c r="C12" s="69"/>
      <c r="D12" s="98"/>
      <c r="E12"/>
      <c r="H12" s="1" t="s">
        <v>99</v>
      </c>
      <c r="I12" s="32">
        <f>I11-C36</f>
        <v>-15233.899999999994</v>
      </c>
      <c r="L12"/>
      <c r="M12" t="s">
        <v>203</v>
      </c>
      <c r="N12" s="1">
        <v>500</v>
      </c>
    </row>
    <row r="13" spans="1:17" x14ac:dyDescent="0.3">
      <c r="B13" s="83" t="s">
        <v>37</v>
      </c>
      <c r="C13" s="64"/>
      <c r="D13" s="107">
        <v>10000</v>
      </c>
      <c r="E13"/>
      <c r="L13" s="41">
        <v>46099</v>
      </c>
      <c r="M13" t="s">
        <v>203</v>
      </c>
      <c r="N13" s="1">
        <v>1000</v>
      </c>
    </row>
    <row r="14" spans="1:17" x14ac:dyDescent="0.3">
      <c r="B14" s="70" t="s">
        <v>7</v>
      </c>
      <c r="C14" s="69"/>
      <c r="D14" s="98"/>
      <c r="E14"/>
      <c r="F14" s="8"/>
      <c r="L14" s="41">
        <v>46100</v>
      </c>
      <c r="M14" t="s">
        <v>204</v>
      </c>
      <c r="N14" s="1">
        <v>1500</v>
      </c>
    </row>
    <row r="15" spans="1:17" x14ac:dyDescent="0.3">
      <c r="B15" s="65" t="s">
        <v>38</v>
      </c>
      <c r="C15" s="72"/>
      <c r="D15" s="86"/>
      <c r="E15"/>
      <c r="H15" s="129" t="s">
        <v>193</v>
      </c>
      <c r="I15" s="124"/>
      <c r="L15" s="41">
        <v>46100</v>
      </c>
      <c r="M15" t="s">
        <v>204</v>
      </c>
      <c r="N15" s="1">
        <v>1000</v>
      </c>
    </row>
    <row r="16" spans="1:17" x14ac:dyDescent="0.3">
      <c r="B16" s="70" t="s">
        <v>102</v>
      </c>
      <c r="C16" s="69"/>
      <c r="D16" s="98"/>
      <c r="E16"/>
      <c r="F16" s="8">
        <v>8526</v>
      </c>
      <c r="H16" s="130" t="s">
        <v>59</v>
      </c>
      <c r="I16" s="125">
        <v>4000</v>
      </c>
      <c r="L16" s="41">
        <v>46101</v>
      </c>
      <c r="M16" t="s">
        <v>205</v>
      </c>
      <c r="N16" s="1">
        <v>1000</v>
      </c>
    </row>
    <row r="17" spans="1:16" x14ac:dyDescent="0.3">
      <c r="B17" s="65" t="s">
        <v>209</v>
      </c>
      <c r="C17" s="72"/>
      <c r="D17" s="86"/>
      <c r="E17"/>
      <c r="H17" s="130" t="s">
        <v>61</v>
      </c>
      <c r="I17" s="125">
        <v>3000</v>
      </c>
      <c r="N17" s="3">
        <f>SUM(N9:N16)</f>
        <v>19120</v>
      </c>
    </row>
    <row r="18" spans="1:16" x14ac:dyDescent="0.3">
      <c r="B18" s="70" t="s">
        <v>48</v>
      </c>
      <c r="C18" s="69"/>
      <c r="D18" s="98"/>
      <c r="E18"/>
      <c r="H18" s="130" t="s">
        <v>158</v>
      </c>
      <c r="I18" s="125">
        <v>1000</v>
      </c>
    </row>
    <row r="19" spans="1:16" x14ac:dyDescent="0.3">
      <c r="B19" s="65" t="s">
        <v>49</v>
      </c>
      <c r="C19" s="72"/>
      <c r="D19" s="86"/>
      <c r="E19"/>
      <c r="F19" s="28">
        <v>49247.8</v>
      </c>
      <c r="H19" s="130" t="s">
        <v>62</v>
      </c>
      <c r="I19" s="125">
        <v>1950</v>
      </c>
    </row>
    <row r="20" spans="1:16" x14ac:dyDescent="0.3">
      <c r="B20" s="70" t="s">
        <v>51</v>
      </c>
      <c r="C20" s="69"/>
      <c r="D20" s="98"/>
      <c r="E20"/>
      <c r="H20" s="130" t="s">
        <v>19</v>
      </c>
      <c r="I20" s="125">
        <v>4000</v>
      </c>
    </row>
    <row r="21" spans="1:16" x14ac:dyDescent="0.3">
      <c r="B21" s="65" t="s">
        <v>52</v>
      </c>
      <c r="C21" s="72"/>
      <c r="D21" s="86"/>
      <c r="E21"/>
      <c r="H21" s="130" t="s">
        <v>143</v>
      </c>
      <c r="I21" s="125">
        <v>4000</v>
      </c>
    </row>
    <row r="22" spans="1:16" x14ac:dyDescent="0.3">
      <c r="B22" s="70" t="s">
        <v>107</v>
      </c>
      <c r="C22" s="69">
        <f>(C7+C8+C9+D7+D8+D9)*0.042</f>
        <v>5163.9000000000005</v>
      </c>
      <c r="D22" s="98"/>
      <c r="E22"/>
      <c r="H22" s="130"/>
      <c r="I22" s="125"/>
    </row>
    <row r="23" spans="1:16" x14ac:dyDescent="0.3">
      <c r="A23" s="1"/>
      <c r="B23" s="65" t="s">
        <v>175</v>
      </c>
      <c r="C23" s="72"/>
      <c r="D23" s="86"/>
      <c r="E23"/>
      <c r="F23" s="8"/>
      <c r="H23" s="134"/>
      <c r="I23" s="132">
        <f>SUM(I15:I22)</f>
        <v>17950</v>
      </c>
    </row>
    <row r="24" spans="1:16" x14ac:dyDescent="0.3">
      <c r="A24" s="1"/>
      <c r="B24" s="69" t="s">
        <v>194</v>
      </c>
      <c r="C24" s="69"/>
      <c r="D24" s="98"/>
      <c r="E24"/>
      <c r="H24"/>
    </row>
    <row r="25" spans="1:16" s="1" customFormat="1" x14ac:dyDescent="0.3">
      <c r="B25" s="64" t="s">
        <v>170</v>
      </c>
      <c r="C25" s="72"/>
      <c r="D25" s="86">
        <f>57002.4+4640</f>
        <v>61642.400000000001</v>
      </c>
      <c r="E25"/>
      <c r="G25" s="8"/>
      <c r="H25"/>
      <c r="K25"/>
      <c r="L25" s="1">
        <f>17+5+13</f>
        <v>35</v>
      </c>
      <c r="M25"/>
      <c r="P25"/>
    </row>
    <row r="26" spans="1:16" s="1" customFormat="1" x14ac:dyDescent="0.3">
      <c r="B26" s="69" t="s">
        <v>114</v>
      </c>
      <c r="C26" s="69"/>
      <c r="D26" s="98"/>
      <c r="E26"/>
      <c r="G26" s="8"/>
      <c r="H26"/>
      <c r="K26"/>
      <c r="L26" s="1">
        <v>57</v>
      </c>
      <c r="M26"/>
      <c r="P26"/>
    </row>
    <row r="27" spans="1:16" s="1" customFormat="1" x14ac:dyDescent="0.3">
      <c r="B27" s="72" t="s">
        <v>132</v>
      </c>
      <c r="C27" s="72"/>
      <c r="D27" s="86"/>
      <c r="E27"/>
      <c r="G27" s="8"/>
      <c r="H27"/>
      <c r="K27"/>
      <c r="L27" s="1">
        <f>SUM(L25:L26)</f>
        <v>92</v>
      </c>
      <c r="M27"/>
      <c r="P27"/>
    </row>
    <row r="28" spans="1:16" s="1" customFormat="1" x14ac:dyDescent="0.3">
      <c r="B28" s="69" t="s">
        <v>1</v>
      </c>
      <c r="C28" s="69"/>
      <c r="D28" s="98">
        <v>25000</v>
      </c>
      <c r="E28"/>
      <c r="G28" s="22"/>
      <c r="H28"/>
      <c r="K28"/>
      <c r="M28"/>
      <c r="P28"/>
    </row>
    <row r="29" spans="1:16" s="1" customFormat="1" x14ac:dyDescent="0.3">
      <c r="B29" s="64" t="s">
        <v>150</v>
      </c>
      <c r="C29" s="72"/>
      <c r="D29" s="86"/>
      <c r="E29"/>
      <c r="G29" s="22"/>
      <c r="H29"/>
      <c r="K29"/>
      <c r="M29"/>
      <c r="P29"/>
    </row>
    <row r="30" spans="1:16" s="1" customFormat="1" x14ac:dyDescent="0.3">
      <c r="B30" s="69" t="s">
        <v>160</v>
      </c>
      <c r="C30" s="69"/>
      <c r="D30" s="98">
        <f>1450*5</f>
        <v>7250</v>
      </c>
      <c r="E30"/>
      <c r="F30" s="16">
        <v>30000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161</v>
      </c>
      <c r="C31" s="72"/>
      <c r="D31" s="86"/>
      <c r="E31"/>
      <c r="F31" s="1">
        <f>47000-D29</f>
        <v>47000</v>
      </c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1" t="s">
        <v>195</v>
      </c>
      <c r="C32" s="39">
        <v>20000</v>
      </c>
      <c r="D32" s="8"/>
      <c r="E32"/>
      <c r="G32" s="22"/>
      <c r="K32"/>
      <c r="M32"/>
      <c r="P32"/>
    </row>
    <row r="33" spans="1:16" s="1" customFormat="1" x14ac:dyDescent="0.3">
      <c r="B33" s="1" t="s">
        <v>143</v>
      </c>
      <c r="C33" s="8"/>
      <c r="D33" s="8"/>
      <c r="E33"/>
      <c r="G33" s="22"/>
      <c r="K33"/>
      <c r="M33"/>
      <c r="P33"/>
    </row>
    <row r="34" spans="1:16" s="1" customFormat="1" x14ac:dyDescent="0.3">
      <c r="B34" s="1" t="s">
        <v>210</v>
      </c>
      <c r="D34" s="39">
        <v>50000</v>
      </c>
      <c r="E34"/>
      <c r="G34" s="22"/>
      <c r="K34"/>
      <c r="M34"/>
      <c r="P34"/>
    </row>
    <row r="35" spans="1:16" s="1" customFormat="1" x14ac:dyDescent="0.3">
      <c r="C35" s="8"/>
      <c r="D35" s="8"/>
      <c r="E35"/>
      <c r="G35" s="22"/>
      <c r="K35"/>
      <c r="M35"/>
      <c r="P35"/>
    </row>
    <row r="36" spans="1:16" s="1" customFormat="1" x14ac:dyDescent="0.3">
      <c r="A36"/>
      <c r="B36"/>
      <c r="C36" s="15">
        <f>SUM(C7:C35)</f>
        <v>148113.9</v>
      </c>
      <c r="D36" s="31">
        <f>SUM(D7:D35)</f>
        <v>153892.4</v>
      </c>
      <c r="E36"/>
      <c r="F36" s="15">
        <f>SUM(F7:F34)</f>
        <v>134773.79999999999</v>
      </c>
      <c r="G36" s="22"/>
      <c r="K36"/>
      <c r="M36"/>
      <c r="P36"/>
    </row>
    <row r="37" spans="1:16" x14ac:dyDescent="0.3">
      <c r="C37" s="34"/>
      <c r="E37" s="38"/>
    </row>
    <row r="38" spans="1:16" x14ac:dyDescent="0.3">
      <c r="C38" s="34"/>
      <c r="E38" s="38"/>
    </row>
    <row r="39" spans="1:16" s="1" customFormat="1" x14ac:dyDescent="0.3">
      <c r="A39"/>
      <c r="E39" s="38"/>
      <c r="G39" s="8"/>
      <c r="K39"/>
      <c r="M39"/>
      <c r="P39"/>
    </row>
    <row r="40" spans="1:16" s="1" customFormat="1" x14ac:dyDescent="0.3">
      <c r="A40"/>
      <c r="C40" s="8"/>
      <c r="E40" s="38"/>
      <c r="G40" s="8"/>
      <c r="K40"/>
      <c r="M40"/>
      <c r="P40"/>
    </row>
    <row r="41" spans="1:16" s="1" customFormat="1" x14ac:dyDescent="0.3">
      <c r="B41"/>
      <c r="C41" s="8"/>
      <c r="E41" s="38"/>
      <c r="G41" s="8"/>
      <c r="K41"/>
      <c r="M41"/>
      <c r="P41"/>
    </row>
    <row r="42" spans="1:16" s="1" customFormat="1" x14ac:dyDescent="0.3">
      <c r="A42"/>
      <c r="B42"/>
      <c r="C42" s="34"/>
      <c r="E42" s="38"/>
      <c r="G42" s="8"/>
      <c r="K42"/>
      <c r="M42"/>
    </row>
    <row r="43" spans="1:16" s="1" customFormat="1" x14ac:dyDescent="0.3">
      <c r="B43"/>
      <c r="C43" s="34"/>
      <c r="E43" s="38"/>
      <c r="G43" s="8"/>
      <c r="K43"/>
      <c r="M43"/>
      <c r="P43"/>
    </row>
    <row r="44" spans="1:16" s="1" customFormat="1" x14ac:dyDescent="0.3">
      <c r="B44"/>
      <c r="E44" s="8"/>
      <c r="G44" s="8"/>
      <c r="K44"/>
      <c r="M44"/>
    </row>
    <row r="45" spans="1:16" s="1" customFormat="1" x14ac:dyDescent="0.3">
      <c r="B45"/>
      <c r="E45" s="8"/>
      <c r="G45" s="8"/>
      <c r="K45"/>
      <c r="M45"/>
    </row>
    <row r="46" spans="1:16" s="1" customFormat="1" x14ac:dyDescent="0.3">
      <c r="A46"/>
      <c r="B46"/>
      <c r="E46" s="8"/>
      <c r="G46" s="8"/>
      <c r="K46"/>
      <c r="M46"/>
    </row>
  </sheetData>
  <mergeCells count="1">
    <mergeCell ref="P1:Q1"/>
  </mergeCells>
  <conditionalFormatting sqref="Q6">
    <cfRule type="cellIs" dxfId="17" priority="1" operator="lessThan">
      <formula>0</formula>
    </cfRule>
  </conditionalFormatting>
  <conditionalFormatting sqref="Q6">
    <cfRule type="cellIs" dxfId="1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CC60-0FCD-4200-A148-2D052B622E06}">
  <dimension ref="A1:Q45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449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C35</f>
        <v>132365.91999999998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D35</f>
        <v>153892.4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I11</f>
        <v>199760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I23</f>
        <v>21950</v>
      </c>
    </row>
    <row r="6" spans="1:17" ht="17.399999999999999" x14ac:dyDescent="0.35">
      <c r="B6" s="68" t="s">
        <v>213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45444.080000000016</v>
      </c>
    </row>
    <row r="7" spans="1:17" x14ac:dyDescent="0.3">
      <c r="B7" s="65" t="s">
        <v>30</v>
      </c>
      <c r="C7" s="90">
        <v>78000</v>
      </c>
      <c r="D7" s="86"/>
      <c r="E7"/>
      <c r="H7" s="123" t="s">
        <v>172</v>
      </c>
      <c r="I7" s="125">
        <f>199760</f>
        <v>199760</v>
      </c>
      <c r="J7" s="1">
        <v>33079</v>
      </c>
      <c r="M7" s="2" t="s">
        <v>198</v>
      </c>
    </row>
    <row r="8" spans="1:17" x14ac:dyDescent="0.3">
      <c r="B8" s="70" t="s">
        <v>199</v>
      </c>
      <c r="C8" s="69">
        <v>12000</v>
      </c>
      <c r="D8" s="98"/>
      <c r="E8"/>
      <c r="H8" s="123" t="s">
        <v>179</v>
      </c>
      <c r="I8" s="125"/>
      <c r="L8"/>
    </row>
    <row r="9" spans="1:17" x14ac:dyDescent="0.3">
      <c r="B9" s="65" t="s">
        <v>41</v>
      </c>
      <c r="C9" s="90">
        <f>I23</f>
        <v>21950</v>
      </c>
      <c r="D9" s="86"/>
      <c r="E9"/>
      <c r="H9" s="123" t="s">
        <v>187</v>
      </c>
      <c r="I9" s="125"/>
      <c r="L9"/>
      <c r="M9" t="s">
        <v>200</v>
      </c>
      <c r="N9" s="1">
        <v>5000</v>
      </c>
    </row>
    <row r="10" spans="1:17" x14ac:dyDescent="0.3">
      <c r="B10" s="70" t="s">
        <v>2</v>
      </c>
      <c r="C10" s="69"/>
      <c r="D10" s="98"/>
      <c r="E10"/>
      <c r="H10" s="123"/>
      <c r="I10" s="125"/>
      <c r="L10"/>
      <c r="M10" t="s">
        <v>201</v>
      </c>
      <c r="N10" s="1">
        <v>8120</v>
      </c>
    </row>
    <row r="11" spans="1:17" x14ac:dyDescent="0.3">
      <c r="B11" s="65" t="s">
        <v>2</v>
      </c>
      <c r="C11" s="72"/>
      <c r="D11" s="86"/>
      <c r="E11"/>
      <c r="H11" s="126"/>
      <c r="I11" s="127">
        <f>SUM(I7:I10)</f>
        <v>199760</v>
      </c>
      <c r="L11"/>
      <c r="M11" t="s">
        <v>202</v>
      </c>
      <c r="N11" s="1">
        <v>1000</v>
      </c>
    </row>
    <row r="12" spans="1:17" x14ac:dyDescent="0.3">
      <c r="B12" s="70" t="s">
        <v>188</v>
      </c>
      <c r="C12" s="69"/>
      <c r="D12" s="98"/>
      <c r="E12"/>
      <c r="H12" s="1" t="s">
        <v>99</v>
      </c>
      <c r="I12" s="32">
        <f>I11-C35</f>
        <v>67394.080000000016</v>
      </c>
      <c r="L12"/>
      <c r="M12" t="s">
        <v>203</v>
      </c>
      <c r="N12" s="1">
        <v>500</v>
      </c>
    </row>
    <row r="13" spans="1:17" x14ac:dyDescent="0.3">
      <c r="B13" s="83" t="s">
        <v>37</v>
      </c>
      <c r="C13" s="64"/>
      <c r="D13" s="86">
        <v>10000</v>
      </c>
      <c r="E13"/>
      <c r="L13" s="41">
        <v>46099</v>
      </c>
      <c r="M13" t="s">
        <v>203</v>
      </c>
      <c r="N13" s="1">
        <v>1000</v>
      </c>
    </row>
    <row r="14" spans="1:17" x14ac:dyDescent="0.3">
      <c r="B14" s="70" t="s">
        <v>7</v>
      </c>
      <c r="C14" s="69">
        <v>2784</v>
      </c>
      <c r="D14" s="98"/>
      <c r="E14"/>
      <c r="F14" s="8"/>
      <c r="L14" s="41">
        <v>46100</v>
      </c>
      <c r="M14" t="s">
        <v>204</v>
      </c>
      <c r="N14" s="1">
        <v>1500</v>
      </c>
    </row>
    <row r="15" spans="1:17" x14ac:dyDescent="0.3">
      <c r="B15" s="65" t="s">
        <v>38</v>
      </c>
      <c r="C15" s="72"/>
      <c r="D15" s="86"/>
      <c r="E15"/>
      <c r="H15" s="129" t="s">
        <v>193</v>
      </c>
      <c r="I15" s="124"/>
      <c r="L15" s="41">
        <v>46100</v>
      </c>
      <c r="M15" t="s">
        <v>204</v>
      </c>
      <c r="N15" s="1">
        <v>1000</v>
      </c>
    </row>
    <row r="16" spans="1:17" x14ac:dyDescent="0.3">
      <c r="B16" s="70" t="s">
        <v>102</v>
      </c>
      <c r="C16" s="69"/>
      <c r="D16" s="98"/>
      <c r="E16"/>
      <c r="F16" s="8">
        <v>8526</v>
      </c>
      <c r="H16" s="130" t="s">
        <v>59</v>
      </c>
      <c r="I16" s="125">
        <v>4000</v>
      </c>
      <c r="L16" s="41">
        <v>46101</v>
      </c>
      <c r="M16" t="s">
        <v>205</v>
      </c>
      <c r="N16" s="1">
        <v>1000</v>
      </c>
    </row>
    <row r="17" spans="1:16" x14ac:dyDescent="0.3">
      <c r="B17" s="65" t="s">
        <v>214</v>
      </c>
      <c r="C17" s="90">
        <v>3795.02</v>
      </c>
      <c r="D17" s="86"/>
      <c r="E17"/>
      <c r="H17" s="130" t="s">
        <v>61</v>
      </c>
      <c r="I17" s="125">
        <v>3000</v>
      </c>
      <c r="N17" s="3">
        <f>SUM(N9:N16)</f>
        <v>19120</v>
      </c>
    </row>
    <row r="18" spans="1:16" x14ac:dyDescent="0.3">
      <c r="B18" s="70" t="s">
        <v>48</v>
      </c>
      <c r="C18" s="69"/>
      <c r="D18" s="98"/>
      <c r="E18"/>
      <c r="H18" s="130" t="s">
        <v>215</v>
      </c>
      <c r="I18" s="125">
        <v>6000</v>
      </c>
    </row>
    <row r="19" spans="1:16" x14ac:dyDescent="0.3">
      <c r="B19" s="65" t="s">
        <v>49</v>
      </c>
      <c r="C19" s="72"/>
      <c r="D19" s="86"/>
      <c r="E19"/>
      <c r="F19" s="28">
        <v>49247.8</v>
      </c>
      <c r="H19" s="130" t="s">
        <v>62</v>
      </c>
      <c r="I19" s="125">
        <v>1950</v>
      </c>
    </row>
    <row r="20" spans="1:16" x14ac:dyDescent="0.3">
      <c r="B20" s="70" t="s">
        <v>51</v>
      </c>
      <c r="C20" s="69"/>
      <c r="D20" s="98"/>
      <c r="E20"/>
      <c r="H20" s="130" t="s">
        <v>19</v>
      </c>
      <c r="I20" s="125">
        <v>3500</v>
      </c>
    </row>
    <row r="21" spans="1:16" x14ac:dyDescent="0.3">
      <c r="B21" s="65" t="s">
        <v>52</v>
      </c>
      <c r="C21" s="72"/>
      <c r="D21" s="86"/>
      <c r="E21"/>
      <c r="H21" s="130" t="s">
        <v>143</v>
      </c>
      <c r="I21" s="125">
        <v>3500</v>
      </c>
    </row>
    <row r="22" spans="1:16" x14ac:dyDescent="0.3">
      <c r="B22" s="70" t="s">
        <v>107</v>
      </c>
      <c r="C22" s="69">
        <f>(C7+C8+C9+D7+D8+D9)*0.042</f>
        <v>4701.9000000000005</v>
      </c>
      <c r="D22" s="98"/>
      <c r="E22"/>
      <c r="H22" s="130"/>
      <c r="I22" s="125"/>
    </row>
    <row r="23" spans="1:16" x14ac:dyDescent="0.3">
      <c r="A23" s="1"/>
      <c r="B23" s="65" t="s">
        <v>175</v>
      </c>
      <c r="C23" s="72"/>
      <c r="D23" s="86"/>
      <c r="E23"/>
      <c r="F23" s="8"/>
      <c r="H23" s="134"/>
      <c r="I23" s="132">
        <f>SUM(I15:I22)</f>
        <v>21950</v>
      </c>
    </row>
    <row r="24" spans="1:16" x14ac:dyDescent="0.3">
      <c r="A24" s="1"/>
      <c r="B24" s="69" t="s">
        <v>194</v>
      </c>
      <c r="C24" s="69"/>
      <c r="D24" s="98"/>
      <c r="E24"/>
      <c r="H24"/>
    </row>
    <row r="25" spans="1:16" s="1" customFormat="1" x14ac:dyDescent="0.3">
      <c r="B25" s="64" t="s">
        <v>170</v>
      </c>
      <c r="C25" s="72"/>
      <c r="D25" s="86">
        <f>57002.4+4640</f>
        <v>61642.400000000001</v>
      </c>
      <c r="E25"/>
      <c r="G25" s="8"/>
      <c r="H25"/>
      <c r="K25"/>
      <c r="L25" s="1">
        <f>17+5+13</f>
        <v>35</v>
      </c>
      <c r="M25"/>
      <c r="P25"/>
    </row>
    <row r="26" spans="1:16" s="1" customFormat="1" x14ac:dyDescent="0.3">
      <c r="B26" s="69" t="s">
        <v>114</v>
      </c>
      <c r="C26" s="69"/>
      <c r="D26" s="98"/>
      <c r="E26"/>
      <c r="G26" s="8"/>
      <c r="H26"/>
      <c r="K26"/>
      <c r="L26" s="1">
        <v>57</v>
      </c>
      <c r="M26"/>
      <c r="P26"/>
    </row>
    <row r="27" spans="1:16" s="1" customFormat="1" x14ac:dyDescent="0.3">
      <c r="B27" s="72" t="s">
        <v>132</v>
      </c>
      <c r="C27" s="72"/>
      <c r="D27" s="86"/>
      <c r="E27"/>
      <c r="G27" s="8"/>
      <c r="H27"/>
      <c r="K27"/>
      <c r="L27" s="1">
        <f>SUM(L25:L26)</f>
        <v>92</v>
      </c>
      <c r="M27"/>
      <c r="P27"/>
    </row>
    <row r="28" spans="1:16" s="1" customFormat="1" x14ac:dyDescent="0.3">
      <c r="B28" s="69" t="s">
        <v>1</v>
      </c>
      <c r="C28" s="69"/>
      <c r="D28" s="98">
        <v>25000</v>
      </c>
      <c r="E28"/>
      <c r="G28" s="22"/>
      <c r="H28"/>
      <c r="K28"/>
      <c r="M28"/>
      <c r="P28"/>
    </row>
    <row r="29" spans="1:16" s="1" customFormat="1" x14ac:dyDescent="0.3">
      <c r="B29" s="64" t="s">
        <v>150</v>
      </c>
      <c r="C29" s="72"/>
      <c r="D29" s="86"/>
      <c r="E29"/>
      <c r="G29" s="22"/>
      <c r="H29"/>
      <c r="K29"/>
      <c r="M29"/>
      <c r="P29"/>
    </row>
    <row r="30" spans="1:16" s="1" customFormat="1" x14ac:dyDescent="0.3">
      <c r="B30" s="69" t="s">
        <v>160</v>
      </c>
      <c r="C30" s="69"/>
      <c r="D30" s="98">
        <f>1450*5</f>
        <v>7250</v>
      </c>
      <c r="E30"/>
      <c r="F30" s="16">
        <v>30000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1" t="s">
        <v>161</v>
      </c>
      <c r="C31" s="39">
        <v>9135</v>
      </c>
      <c r="D31" s="8"/>
      <c r="E31"/>
      <c r="F31" s="1">
        <f>47000-D29</f>
        <v>47000</v>
      </c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1" t="s">
        <v>143</v>
      </c>
      <c r="C32" s="8"/>
      <c r="D32" s="8"/>
      <c r="E32"/>
      <c r="G32" s="22"/>
      <c r="K32"/>
      <c r="M32"/>
      <c r="P32"/>
    </row>
    <row r="33" spans="1:16" s="1" customFormat="1" x14ac:dyDescent="0.3">
      <c r="B33" s="1" t="s">
        <v>210</v>
      </c>
      <c r="D33" s="39">
        <v>50000</v>
      </c>
      <c r="E33"/>
      <c r="G33" s="22"/>
      <c r="K33"/>
      <c r="M33"/>
      <c r="P33"/>
    </row>
    <row r="34" spans="1:16" s="1" customFormat="1" x14ac:dyDescent="0.3">
      <c r="C34" s="8"/>
      <c r="D34" s="8"/>
      <c r="E34"/>
      <c r="G34" s="22"/>
      <c r="K34"/>
      <c r="M34"/>
      <c r="P34"/>
    </row>
    <row r="35" spans="1:16" s="1" customFormat="1" x14ac:dyDescent="0.3">
      <c r="A35"/>
      <c r="B35"/>
      <c r="C35" s="15">
        <f>SUM(C7:C34)</f>
        <v>132365.91999999998</v>
      </c>
      <c r="D35" s="31">
        <f>SUM(D7:D34)</f>
        <v>153892.4</v>
      </c>
      <c r="E35"/>
      <c r="F35" s="15">
        <f>SUM(F7:F33)</f>
        <v>134773.79999999999</v>
      </c>
      <c r="G35" s="22"/>
      <c r="K35"/>
      <c r="M35"/>
      <c r="P35"/>
    </row>
    <row r="36" spans="1:16" x14ac:dyDescent="0.3">
      <c r="C36" s="34"/>
      <c r="E36" s="38"/>
    </row>
    <row r="37" spans="1:16" x14ac:dyDescent="0.3">
      <c r="C37" s="34"/>
      <c r="E37" s="38"/>
    </row>
    <row r="38" spans="1:16" s="1" customFormat="1" x14ac:dyDescent="0.3">
      <c r="A38"/>
      <c r="E38" s="38"/>
      <c r="G38" s="8"/>
      <c r="K38"/>
      <c r="M38"/>
      <c r="P38"/>
    </row>
    <row r="39" spans="1:16" s="1" customFormat="1" x14ac:dyDescent="0.3">
      <c r="A39"/>
      <c r="C39" s="8"/>
      <c r="E39" s="38"/>
      <c r="G39" s="8"/>
      <c r="K39"/>
      <c r="M39"/>
      <c r="P39"/>
    </row>
    <row r="40" spans="1:16" s="1" customFormat="1" x14ac:dyDescent="0.3">
      <c r="B40"/>
      <c r="C40" s="8"/>
      <c r="E40" s="38"/>
      <c r="G40" s="8"/>
      <c r="K40"/>
      <c r="M40"/>
      <c r="P40"/>
    </row>
    <row r="41" spans="1:16" s="1" customFormat="1" x14ac:dyDescent="0.3">
      <c r="A41"/>
      <c r="B41"/>
      <c r="C41" s="34"/>
      <c r="E41" s="38"/>
      <c r="G41" s="8"/>
      <c r="K41"/>
      <c r="M41"/>
    </row>
    <row r="42" spans="1:16" s="1" customFormat="1" x14ac:dyDescent="0.3">
      <c r="B42"/>
      <c r="C42" s="34"/>
      <c r="E42" s="38"/>
      <c r="G42" s="8"/>
      <c r="K42"/>
      <c r="M42"/>
      <c r="P42"/>
    </row>
    <row r="43" spans="1:16" s="1" customFormat="1" x14ac:dyDescent="0.3">
      <c r="B43"/>
      <c r="E43" s="8"/>
      <c r="G43" s="8"/>
      <c r="K43"/>
      <c r="M43"/>
    </row>
    <row r="44" spans="1:16" s="1" customFormat="1" x14ac:dyDescent="0.3">
      <c r="B44"/>
      <c r="E44" s="8"/>
      <c r="G44" s="8"/>
      <c r="K44"/>
      <c r="M44"/>
    </row>
    <row r="45" spans="1:16" s="1" customFormat="1" x14ac:dyDescent="0.3">
      <c r="A45"/>
      <c r="B45"/>
      <c r="E45" s="8"/>
      <c r="G45" s="8"/>
      <c r="K45"/>
      <c r="M45"/>
    </row>
  </sheetData>
  <mergeCells count="1">
    <mergeCell ref="P1:Q1"/>
  </mergeCells>
  <conditionalFormatting sqref="Q6">
    <cfRule type="cellIs" dxfId="15" priority="1" operator="lessThan">
      <formula>0</formula>
    </cfRule>
  </conditionalFormatting>
  <conditionalFormatting sqref="Q6">
    <cfRule type="cellIs" dxfId="1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A7E6-8589-4264-A999-7CEB88E921FD}">
  <dimension ref="A1:Q51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0.332031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0.33203125" style="1" bestFit="1" customWidth="1"/>
    <col min="12" max="12" width="13.33203125" style="1" customWidth="1"/>
    <col min="13" max="13" width="26.44140625" customWidth="1"/>
    <col min="14" max="14" width="15.5546875" style="1" customWidth="1"/>
    <col min="15" max="15" width="11.5546875" style="1"/>
    <col min="16" max="16" width="22.21875" customWidth="1"/>
    <col min="18" max="18" width="22.21875" customWidth="1"/>
  </cols>
  <sheetData>
    <row r="1" spans="1:17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P1" s="269" t="s">
        <v>449</v>
      </c>
      <c r="Q1" s="269"/>
    </row>
    <row r="2" spans="1:17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P2" s="85" t="s">
        <v>425</v>
      </c>
      <c r="Q2" s="270">
        <f>C39</f>
        <v>210849.13</v>
      </c>
    </row>
    <row r="3" spans="1:17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P3" s="85" t="s">
        <v>269</v>
      </c>
      <c r="Q3" s="270">
        <f>D39</f>
        <v>281703.18</v>
      </c>
    </row>
    <row r="4" spans="1:17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P4" s="85" t="s">
        <v>423</v>
      </c>
      <c r="Q4" s="270">
        <f>I12</f>
        <v>323806.08000000002</v>
      </c>
    </row>
    <row r="5" spans="1:17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P5" s="85" t="s">
        <v>424</v>
      </c>
      <c r="Q5" s="270">
        <f>I24</f>
        <v>20000</v>
      </c>
    </row>
    <row r="6" spans="1:17" ht="17.399999999999999" x14ac:dyDescent="0.35">
      <c r="B6" s="68" t="s">
        <v>216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P6" s="271" t="s">
        <v>444</v>
      </c>
      <c r="Q6" s="272">
        <f>Q4-Q5-Q2</f>
        <v>92956.950000000012</v>
      </c>
    </row>
    <row r="7" spans="1:17" x14ac:dyDescent="0.3">
      <c r="B7" s="65" t="s">
        <v>30</v>
      </c>
      <c r="C7" s="90">
        <v>105000</v>
      </c>
      <c r="D7" s="86"/>
      <c r="E7"/>
      <c r="H7" s="123" t="s">
        <v>172</v>
      </c>
      <c r="I7" s="125"/>
      <c r="J7" s="1">
        <v>33079</v>
      </c>
      <c r="M7" s="2" t="s">
        <v>198</v>
      </c>
    </row>
    <row r="8" spans="1:17" x14ac:dyDescent="0.3">
      <c r="B8" s="70" t="s">
        <v>199</v>
      </c>
      <c r="C8" s="69"/>
      <c r="D8" s="98"/>
      <c r="E8"/>
      <c r="H8" s="123" t="s">
        <v>179</v>
      </c>
      <c r="I8" s="125">
        <v>126412</v>
      </c>
      <c r="L8"/>
    </row>
    <row r="9" spans="1:17" x14ac:dyDescent="0.3">
      <c r="B9" s="65" t="s">
        <v>41</v>
      </c>
      <c r="C9" s="90">
        <f>I24</f>
        <v>20000</v>
      </c>
      <c r="D9" s="86"/>
      <c r="E9"/>
      <c r="H9" s="123" t="s">
        <v>187</v>
      </c>
      <c r="I9" s="125"/>
      <c r="L9"/>
      <c r="M9" t="s">
        <v>200</v>
      </c>
      <c r="N9" s="1">
        <v>5000</v>
      </c>
    </row>
    <row r="10" spans="1:17" x14ac:dyDescent="0.3">
      <c r="B10" s="70" t="s">
        <v>2</v>
      </c>
      <c r="C10" s="69"/>
      <c r="D10" s="98">
        <v>70000</v>
      </c>
      <c r="E10"/>
      <c r="H10" s="123" t="s">
        <v>217</v>
      </c>
      <c r="I10" s="125">
        <f>'06 11 Abril'!I12</f>
        <v>67394.080000000016</v>
      </c>
      <c r="L10"/>
      <c r="M10" t="s">
        <v>201</v>
      </c>
      <c r="N10" s="1">
        <v>8120</v>
      </c>
    </row>
    <row r="11" spans="1:17" x14ac:dyDescent="0.3">
      <c r="B11" s="65" t="s">
        <v>2</v>
      </c>
      <c r="C11" s="72"/>
      <c r="D11" s="86"/>
      <c r="E11"/>
      <c r="H11" s="123" t="s">
        <v>218</v>
      </c>
      <c r="I11" s="125">
        <v>130000</v>
      </c>
      <c r="L11"/>
      <c r="M11" t="s">
        <v>202</v>
      </c>
      <c r="N11" s="1">
        <v>1000</v>
      </c>
    </row>
    <row r="12" spans="1:17" x14ac:dyDescent="0.3">
      <c r="B12" s="70" t="s">
        <v>188</v>
      </c>
      <c r="C12" s="69"/>
      <c r="D12" s="98"/>
      <c r="E12"/>
      <c r="H12" s="126"/>
      <c r="I12" s="127">
        <f>SUM(I7:I11)</f>
        <v>323806.08000000002</v>
      </c>
      <c r="L12"/>
      <c r="M12" t="s">
        <v>203</v>
      </c>
      <c r="N12" s="1">
        <v>500</v>
      </c>
    </row>
    <row r="13" spans="1:17" x14ac:dyDescent="0.3">
      <c r="B13" s="83" t="s">
        <v>37</v>
      </c>
      <c r="C13" s="90">
        <v>10000</v>
      </c>
      <c r="D13" s="79"/>
      <c r="E13"/>
      <c r="H13" s="1" t="s">
        <v>99</v>
      </c>
      <c r="I13" s="32">
        <f>I12-C39</f>
        <v>112956.95000000001</v>
      </c>
      <c r="L13" s="41">
        <v>46099</v>
      </c>
      <c r="M13" t="s">
        <v>203</v>
      </c>
      <c r="N13" s="1">
        <v>1000</v>
      </c>
    </row>
    <row r="14" spans="1:17" x14ac:dyDescent="0.3">
      <c r="B14" s="70" t="s">
        <v>7</v>
      </c>
      <c r="C14" s="69"/>
      <c r="D14" s="98">
        <v>2784</v>
      </c>
      <c r="E14"/>
      <c r="F14" s="8"/>
      <c r="L14" s="41">
        <v>46100</v>
      </c>
      <c r="M14" t="s">
        <v>204</v>
      </c>
      <c r="N14" s="1">
        <v>1500</v>
      </c>
    </row>
    <row r="15" spans="1:17" x14ac:dyDescent="0.3">
      <c r="B15" s="65" t="s">
        <v>38</v>
      </c>
      <c r="C15" s="72"/>
      <c r="D15" s="86"/>
      <c r="E15"/>
      <c r="H15" s="129" t="s">
        <v>193</v>
      </c>
      <c r="I15" s="124"/>
      <c r="L15" s="41">
        <v>46100</v>
      </c>
      <c r="M15" t="s">
        <v>204</v>
      </c>
      <c r="N15" s="1">
        <v>1000</v>
      </c>
    </row>
    <row r="16" spans="1:17" x14ac:dyDescent="0.3">
      <c r="B16" s="70" t="s">
        <v>102</v>
      </c>
      <c r="C16" s="69"/>
      <c r="D16" s="98">
        <v>6970</v>
      </c>
      <c r="E16"/>
      <c r="F16" s="8">
        <v>8526</v>
      </c>
      <c r="H16" s="130" t="s">
        <v>59</v>
      </c>
      <c r="I16" s="125">
        <v>4000</v>
      </c>
      <c r="L16" s="41">
        <v>46101</v>
      </c>
      <c r="M16" t="s">
        <v>205</v>
      </c>
      <c r="N16" s="1">
        <v>1000</v>
      </c>
    </row>
    <row r="17" spans="1:16" x14ac:dyDescent="0.3">
      <c r="B17" s="65" t="s">
        <v>214</v>
      </c>
      <c r="C17" s="64"/>
      <c r="D17" s="108">
        <v>3795.01</v>
      </c>
      <c r="E17"/>
      <c r="H17" s="130" t="s">
        <v>61</v>
      </c>
      <c r="I17" s="125">
        <v>3000</v>
      </c>
      <c r="N17" s="3">
        <f>SUM(N9:N16)</f>
        <v>19120</v>
      </c>
    </row>
    <row r="18" spans="1:16" x14ac:dyDescent="0.3">
      <c r="B18" s="70" t="s">
        <v>48</v>
      </c>
      <c r="C18" s="69"/>
      <c r="D18" s="98"/>
      <c r="E18"/>
      <c r="H18" s="130" t="s">
        <v>215</v>
      </c>
      <c r="I18" s="125">
        <v>5800</v>
      </c>
    </row>
    <row r="19" spans="1:16" x14ac:dyDescent="0.3">
      <c r="B19" s="65" t="s">
        <v>49</v>
      </c>
      <c r="C19" s="72"/>
      <c r="D19" s="86"/>
      <c r="E19"/>
      <c r="F19" s="28">
        <v>49247.8</v>
      </c>
      <c r="H19" s="130" t="s">
        <v>62</v>
      </c>
      <c r="I19" s="125">
        <v>1950</v>
      </c>
    </row>
    <row r="20" spans="1:16" x14ac:dyDescent="0.3">
      <c r="B20" s="70" t="s">
        <v>219</v>
      </c>
      <c r="C20" s="69"/>
      <c r="D20" s="98">
        <v>15000</v>
      </c>
      <c r="E20"/>
      <c r="F20" s="28"/>
      <c r="H20" s="130" t="s">
        <v>19</v>
      </c>
      <c r="I20" s="125">
        <v>3000</v>
      </c>
    </row>
    <row r="21" spans="1:16" x14ac:dyDescent="0.3">
      <c r="B21" s="65" t="s">
        <v>134</v>
      </c>
      <c r="C21" s="72"/>
      <c r="D21" s="108">
        <v>1186.3599999999999</v>
      </c>
      <c r="E21"/>
      <c r="H21" s="123" t="s">
        <v>220</v>
      </c>
      <c r="I21" s="125">
        <v>500</v>
      </c>
    </row>
    <row r="22" spans="1:16" x14ac:dyDescent="0.3">
      <c r="B22" s="70" t="s">
        <v>221</v>
      </c>
      <c r="C22" s="69"/>
      <c r="D22" s="98">
        <v>32480</v>
      </c>
      <c r="E22"/>
      <c r="H22" s="130" t="s">
        <v>143</v>
      </c>
      <c r="I22" s="125">
        <v>2750</v>
      </c>
      <c r="J22" s="1">
        <v>18250</v>
      </c>
    </row>
    <row r="23" spans="1:16" x14ac:dyDescent="0.3">
      <c r="B23" s="65" t="s">
        <v>107</v>
      </c>
      <c r="C23" s="90">
        <f>(C7+C8+C9+D7+D8+D9)*0.042</f>
        <v>5250</v>
      </c>
      <c r="D23" s="86"/>
      <c r="E23"/>
      <c r="H23" s="130"/>
      <c r="I23" s="125">
        <v>-1000</v>
      </c>
      <c r="J23" s="1">
        <f>J22-20000</f>
        <v>-1750</v>
      </c>
    </row>
    <row r="24" spans="1:16" x14ac:dyDescent="0.3">
      <c r="A24" s="1"/>
      <c r="B24" s="70" t="s">
        <v>175</v>
      </c>
      <c r="C24" s="69"/>
      <c r="D24" s="98">
        <v>3970.21</v>
      </c>
      <c r="E24"/>
      <c r="F24" s="8"/>
      <c r="H24" s="134"/>
      <c r="I24" s="132">
        <f>SUM(I15:I23)</f>
        <v>20000</v>
      </c>
    </row>
    <row r="25" spans="1:16" s="1" customFormat="1" x14ac:dyDescent="0.3">
      <c r="B25" s="64" t="s">
        <v>194</v>
      </c>
      <c r="C25" s="72"/>
      <c r="D25" s="108">
        <v>15370</v>
      </c>
      <c r="E25"/>
      <c r="G25" s="8"/>
      <c r="H25"/>
      <c r="K25"/>
      <c r="L25" s="1">
        <f>17+5+13</f>
        <v>35</v>
      </c>
      <c r="M25"/>
      <c r="P25"/>
    </row>
    <row r="26" spans="1:16" s="1" customFormat="1" x14ac:dyDescent="0.3">
      <c r="B26" s="69" t="s">
        <v>194</v>
      </c>
      <c r="C26" s="69"/>
      <c r="D26" s="98">
        <v>15370</v>
      </c>
      <c r="E26"/>
      <c r="G26" s="8"/>
      <c r="H26"/>
      <c r="I26" s="1">
        <f>I24+4000</f>
        <v>24000</v>
      </c>
      <c r="K26"/>
      <c r="L26" s="1">
        <v>57</v>
      </c>
      <c r="M26"/>
      <c r="P26"/>
    </row>
    <row r="27" spans="1:16" s="1" customFormat="1" x14ac:dyDescent="0.3">
      <c r="B27" s="64" t="s">
        <v>222</v>
      </c>
      <c r="C27" s="90">
        <v>30000</v>
      </c>
      <c r="D27" s="108">
        <f>57002.4+4640</f>
        <v>61642.400000000001</v>
      </c>
      <c r="E27"/>
      <c r="G27" s="8"/>
      <c r="H27"/>
      <c r="K27"/>
      <c r="L27" s="1">
        <f>SUM(L25:L26)</f>
        <v>92</v>
      </c>
      <c r="M27"/>
      <c r="P27"/>
    </row>
    <row r="28" spans="1:16" s="1" customFormat="1" x14ac:dyDescent="0.3">
      <c r="B28" s="69" t="s">
        <v>114</v>
      </c>
      <c r="C28" s="69"/>
      <c r="D28" s="98"/>
      <c r="E28"/>
      <c r="G28" s="8"/>
      <c r="H28"/>
      <c r="K28"/>
      <c r="M28"/>
      <c r="P28"/>
    </row>
    <row r="29" spans="1:16" s="1" customFormat="1" x14ac:dyDescent="0.3">
      <c r="B29" s="72" t="s">
        <v>132</v>
      </c>
      <c r="C29" s="72"/>
      <c r="D29" s="108">
        <v>4750.2</v>
      </c>
      <c r="E29"/>
      <c r="G29" s="8"/>
      <c r="H29"/>
      <c r="K29"/>
      <c r="M29"/>
      <c r="P29"/>
    </row>
    <row r="30" spans="1:16" s="1" customFormat="1" x14ac:dyDescent="0.3">
      <c r="B30" s="69" t="s">
        <v>223</v>
      </c>
      <c r="C30" s="69">
        <v>9676.4500000000007</v>
      </c>
      <c r="D30" s="98"/>
      <c r="E30"/>
      <c r="F30" s="16">
        <v>30000</v>
      </c>
      <c r="G30" s="22"/>
      <c r="H30">
        <f>1600/15</f>
        <v>106.66666666666667</v>
      </c>
      <c r="I30" s="3"/>
      <c r="K30"/>
      <c r="M30"/>
      <c r="P30"/>
    </row>
    <row r="31" spans="1:16" s="1" customFormat="1" x14ac:dyDescent="0.3">
      <c r="B31" s="64" t="s">
        <v>11</v>
      </c>
      <c r="C31" s="72">
        <v>12652.68</v>
      </c>
      <c r="D31" s="86"/>
      <c r="E31"/>
      <c r="F31" s="16"/>
      <c r="G31" s="22"/>
      <c r="H31" s="1">
        <f>H30/30</f>
        <v>3.5555555555555558</v>
      </c>
      <c r="K31"/>
      <c r="M31"/>
      <c r="P31"/>
    </row>
    <row r="32" spans="1:16" s="1" customFormat="1" x14ac:dyDescent="0.3">
      <c r="B32" s="69" t="s">
        <v>150</v>
      </c>
      <c r="C32" s="69"/>
      <c r="D32" s="98"/>
      <c r="E32"/>
      <c r="F32" s="1">
        <f>47000-D32</f>
        <v>47000</v>
      </c>
      <c r="G32" s="22"/>
      <c r="K32"/>
      <c r="M32"/>
      <c r="P32"/>
    </row>
    <row r="33" spans="1:16" s="1" customFormat="1" x14ac:dyDescent="0.3">
      <c r="B33" s="64" t="s">
        <v>160</v>
      </c>
      <c r="C33" s="72"/>
      <c r="D33" s="86">
        <f>1450*5</f>
        <v>7250</v>
      </c>
      <c r="E33"/>
      <c r="G33" s="22"/>
      <c r="K33"/>
      <c r="M33"/>
      <c r="P33"/>
    </row>
    <row r="34" spans="1:16" s="1" customFormat="1" x14ac:dyDescent="0.3">
      <c r="B34" s="69" t="s">
        <v>161</v>
      </c>
      <c r="C34" s="69">
        <f>15.75*1.16*1000</f>
        <v>18270</v>
      </c>
      <c r="D34" s="98">
        <v>9135</v>
      </c>
      <c r="E34"/>
      <c r="G34" s="22"/>
      <c r="K34"/>
      <c r="M34"/>
      <c r="P34"/>
    </row>
    <row r="35" spans="1:16" s="1" customFormat="1" x14ac:dyDescent="0.3">
      <c r="B35" s="64" t="s">
        <v>143</v>
      </c>
      <c r="C35" s="72"/>
      <c r="D35" s="86"/>
      <c r="E35"/>
      <c r="G35" s="22"/>
      <c r="K35"/>
      <c r="M35"/>
      <c r="P35"/>
    </row>
    <row r="36" spans="1:16" x14ac:dyDescent="0.3">
      <c r="A36" s="1"/>
      <c r="B36" s="69" t="s">
        <v>210</v>
      </c>
      <c r="C36" s="69"/>
      <c r="D36" s="98"/>
      <c r="E36"/>
      <c r="G36" s="22"/>
    </row>
    <row r="37" spans="1:16" x14ac:dyDescent="0.3">
      <c r="A37" s="1"/>
      <c r="B37" s="64" t="s">
        <v>224</v>
      </c>
      <c r="C37" s="64"/>
      <c r="D37" s="86"/>
      <c r="E37"/>
      <c r="G37" s="22"/>
    </row>
    <row r="38" spans="1:16" x14ac:dyDescent="0.3">
      <c r="A38" s="1"/>
      <c r="B38" s="69" t="s">
        <v>225</v>
      </c>
      <c r="C38" s="69"/>
      <c r="D38" s="98">
        <v>32000</v>
      </c>
      <c r="E38"/>
      <c r="G38" s="22"/>
    </row>
    <row r="39" spans="1:16" s="1" customFormat="1" x14ac:dyDescent="0.3">
      <c r="A39"/>
      <c r="B39" s="65"/>
      <c r="C39" s="67">
        <f>SUM(C7:C38)</f>
        <v>210849.13</v>
      </c>
      <c r="D39" s="105">
        <f>SUM(D7:D38)</f>
        <v>281703.18</v>
      </c>
      <c r="E39"/>
      <c r="F39" s="15">
        <f>SUM(F7:F36)</f>
        <v>134773.79999999999</v>
      </c>
      <c r="G39" s="22"/>
      <c r="K39"/>
      <c r="M39"/>
      <c r="P39"/>
    </row>
    <row r="40" spans="1:16" s="1" customFormat="1" x14ac:dyDescent="0.3">
      <c r="A40"/>
      <c r="B40" s="70"/>
      <c r="C40" s="91"/>
      <c r="D40" s="98"/>
      <c r="E40"/>
      <c r="G40" s="8"/>
      <c r="K40"/>
      <c r="M40"/>
      <c r="P40"/>
    </row>
    <row r="41" spans="1:16" s="1" customFormat="1" x14ac:dyDescent="0.3">
      <c r="A41"/>
      <c r="B41" s="65"/>
      <c r="C41" s="88"/>
      <c r="D41" s="79"/>
      <c r="E41"/>
      <c r="G41" s="8"/>
      <c r="K41"/>
      <c r="M41"/>
      <c r="P41"/>
    </row>
    <row r="42" spans="1:16" s="1" customFormat="1" x14ac:dyDescent="0.3">
      <c r="A42"/>
      <c r="B42" s="69"/>
      <c r="C42" s="69"/>
      <c r="D42" s="98">
        <f>15*25</f>
        <v>375</v>
      </c>
      <c r="E42"/>
      <c r="G42" s="8"/>
      <c r="K42"/>
      <c r="M42"/>
    </row>
    <row r="43" spans="1:16" s="1" customFormat="1" x14ac:dyDescent="0.3">
      <c r="A43"/>
      <c r="B43" s="64"/>
      <c r="C43" s="72"/>
      <c r="D43" s="79">
        <f>D42*3</f>
        <v>1125</v>
      </c>
      <c r="E43"/>
      <c r="G43" s="8"/>
      <c r="K43"/>
      <c r="M43"/>
      <c r="P43"/>
    </row>
    <row r="44" spans="1:16" s="1" customFormat="1" x14ac:dyDescent="0.3">
      <c r="B44" s="70"/>
      <c r="C44" s="69"/>
      <c r="D44" s="98"/>
      <c r="E44"/>
      <c r="G44" s="8"/>
      <c r="K44"/>
      <c r="M44"/>
    </row>
    <row r="45" spans="1:16" s="1" customFormat="1" x14ac:dyDescent="0.3">
      <c r="A45"/>
      <c r="B45" s="239" t="s">
        <v>432</v>
      </c>
      <c r="C45" s="238"/>
      <c r="D45" s="79"/>
      <c r="E45"/>
      <c r="G45" s="8"/>
      <c r="K45"/>
      <c r="M45"/>
    </row>
    <row r="46" spans="1:16" s="1" customFormat="1" x14ac:dyDescent="0.3">
      <c r="B46" s="70" t="s">
        <v>226</v>
      </c>
      <c r="C46" s="69" t="s">
        <v>227</v>
      </c>
      <c r="D46" s="179"/>
      <c r="E46"/>
      <c r="G46" s="8"/>
      <c r="K46"/>
      <c r="M46"/>
    </row>
    <row r="47" spans="1:16" x14ac:dyDescent="0.3">
      <c r="A47" s="1"/>
      <c r="B47" s="192" t="s">
        <v>228</v>
      </c>
      <c r="C47" s="196" t="s">
        <v>227</v>
      </c>
      <c r="E47"/>
    </row>
    <row r="48" spans="1:16" x14ac:dyDescent="0.3">
      <c r="A48" s="1"/>
      <c r="B48" s="192" t="s">
        <v>229</v>
      </c>
      <c r="C48" s="196" t="s">
        <v>227</v>
      </c>
      <c r="E48"/>
    </row>
    <row r="49" spans="2:5" x14ac:dyDescent="0.3">
      <c r="B49" s="192" t="s">
        <v>230</v>
      </c>
      <c r="C49" s="196" t="s">
        <v>227</v>
      </c>
      <c r="E49"/>
    </row>
    <row r="50" spans="2:5" x14ac:dyDescent="0.3">
      <c r="B50" s="192" t="s">
        <v>231</v>
      </c>
      <c r="C50" s="196" t="s">
        <v>232</v>
      </c>
      <c r="E50"/>
    </row>
    <row r="51" spans="2:5" x14ac:dyDescent="0.3">
      <c r="B51" s="195" t="s">
        <v>233</v>
      </c>
      <c r="C51" s="197" t="s">
        <v>232</v>
      </c>
      <c r="E51"/>
    </row>
  </sheetData>
  <mergeCells count="1">
    <mergeCell ref="P1:Q1"/>
  </mergeCells>
  <conditionalFormatting sqref="Q6">
    <cfRule type="cellIs" dxfId="13" priority="1" operator="lessThan">
      <formula>0</formula>
    </cfRule>
  </conditionalFormatting>
  <conditionalFormatting sqref="Q6">
    <cfRule type="cellIs" dxfId="1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91CF-3976-4B47-8B83-7F3BBF3830B9}">
  <dimension ref="A1:R59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5" width="14.6640625" style="1" customWidth="1"/>
    <col min="6" max="6" width="11.44140625" style="8" bestFit="1" customWidth="1"/>
    <col min="7" max="7" width="12.44140625" style="1" bestFit="1" customWidth="1"/>
    <col min="8" max="8" width="4.6640625" style="8" customWidth="1"/>
    <col min="9" max="9" width="21.44140625" style="1" bestFit="1" customWidth="1"/>
    <col min="10" max="10" width="14.6640625" style="1" customWidth="1"/>
    <col min="11" max="11" width="11.109375" style="1" customWidth="1"/>
    <col min="12" max="12" width="18.44140625" customWidth="1"/>
    <col min="13" max="13" width="13.33203125" style="1" customWidth="1"/>
    <col min="14" max="14" width="26.44140625" customWidth="1"/>
    <col min="15" max="15" width="15.5546875" style="1" customWidth="1"/>
    <col min="16" max="16" width="11.5546875" style="1"/>
    <col min="17" max="18" width="22.21875" customWidth="1"/>
  </cols>
  <sheetData>
    <row r="1" spans="1:18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K1"/>
      <c r="M1"/>
      <c r="Q1" s="269" t="s">
        <v>449</v>
      </c>
      <c r="R1" s="269"/>
    </row>
    <row r="2" spans="1:18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K2"/>
      <c r="M2"/>
      <c r="Q2" s="85" t="s">
        <v>425</v>
      </c>
      <c r="R2" s="270">
        <f>C44</f>
        <v>541297.31000000006</v>
      </c>
    </row>
    <row r="3" spans="1:18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K3"/>
      <c r="M3"/>
      <c r="Q3" s="85" t="s">
        <v>269</v>
      </c>
      <c r="R3" s="270">
        <f>D44</f>
        <v>55669.42</v>
      </c>
    </row>
    <row r="4" spans="1:18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K4"/>
      <c r="M4"/>
      <c r="Q4" s="85" t="s">
        <v>423</v>
      </c>
      <c r="R4" s="270">
        <f>J12</f>
        <v>524873.19999999995</v>
      </c>
    </row>
    <row r="5" spans="1:18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K5"/>
      <c r="M5"/>
      <c r="Q5" s="85" t="s">
        <v>424</v>
      </c>
      <c r="R5" s="270">
        <f>J24</f>
        <v>31050</v>
      </c>
    </row>
    <row r="6" spans="1:18" ht="17.399999999999999" x14ac:dyDescent="0.35">
      <c r="B6" s="68" t="s">
        <v>234</v>
      </c>
      <c r="C6" s="82" t="s">
        <v>90</v>
      </c>
      <c r="D6" s="103" t="s">
        <v>91</v>
      </c>
      <c r="E6" t="s">
        <v>91</v>
      </c>
      <c r="F6" s="37"/>
      <c r="I6" s="122" t="s">
        <v>92</v>
      </c>
      <c r="J6" s="135">
        <v>152000</v>
      </c>
      <c r="L6" s="3"/>
      <c r="N6" s="1"/>
      <c r="Q6" s="271" t="s">
        <v>444</v>
      </c>
      <c r="R6" s="272">
        <f>R4-R5-R2</f>
        <v>-47474.110000000102</v>
      </c>
    </row>
    <row r="7" spans="1:18" x14ac:dyDescent="0.3">
      <c r="B7" s="65" t="s">
        <v>30</v>
      </c>
      <c r="C7" s="94">
        <v>110000</v>
      </c>
      <c r="D7" s="86"/>
      <c r="E7"/>
      <c r="I7" s="123" t="s">
        <v>172</v>
      </c>
      <c r="J7" s="125">
        <v>121000</v>
      </c>
      <c r="K7" s="42">
        <v>46137</v>
      </c>
      <c r="N7" s="2" t="s">
        <v>198</v>
      </c>
    </row>
    <row r="8" spans="1:18" x14ac:dyDescent="0.3">
      <c r="B8" s="70" t="s">
        <v>199</v>
      </c>
      <c r="C8" s="69"/>
      <c r="D8" s="98"/>
      <c r="E8"/>
      <c r="I8" s="123" t="s">
        <v>235</v>
      </c>
      <c r="J8" s="125">
        <v>126412</v>
      </c>
      <c r="K8" s="42">
        <v>46133</v>
      </c>
      <c r="M8"/>
    </row>
    <row r="9" spans="1:18" x14ac:dyDescent="0.3">
      <c r="B9" s="65" t="s">
        <v>41</v>
      </c>
      <c r="C9" s="94">
        <f>J24</f>
        <v>31050</v>
      </c>
      <c r="D9" s="86"/>
      <c r="E9"/>
      <c r="I9" s="123" t="s">
        <v>236</v>
      </c>
      <c r="J9" s="125">
        <v>126396.8</v>
      </c>
      <c r="K9" s="42">
        <v>46133</v>
      </c>
      <c r="M9"/>
      <c r="N9" t="s">
        <v>200</v>
      </c>
      <c r="O9" s="1">
        <v>5000</v>
      </c>
    </row>
    <row r="10" spans="1:18" x14ac:dyDescent="0.3">
      <c r="B10" s="70" t="s">
        <v>2</v>
      </c>
      <c r="C10" s="69">
        <v>40426.65</v>
      </c>
      <c r="D10" s="98"/>
      <c r="E10"/>
      <c r="I10" s="123" t="s">
        <v>236</v>
      </c>
      <c r="J10" s="125">
        <v>151064.4</v>
      </c>
      <c r="K10" s="42">
        <v>46135</v>
      </c>
      <c r="M10"/>
      <c r="N10" t="s">
        <v>201</v>
      </c>
      <c r="O10" s="1">
        <v>8120</v>
      </c>
    </row>
    <row r="11" spans="1:18" x14ac:dyDescent="0.3">
      <c r="B11" s="65" t="s">
        <v>2</v>
      </c>
      <c r="C11" s="72"/>
      <c r="D11" s="86"/>
      <c r="E11"/>
      <c r="I11" s="123" t="s">
        <v>237</v>
      </c>
      <c r="J11" s="125"/>
      <c r="M11"/>
      <c r="N11" t="s">
        <v>202</v>
      </c>
      <c r="O11" s="1">
        <v>1000</v>
      </c>
    </row>
    <row r="12" spans="1:18" x14ac:dyDescent="0.3">
      <c r="B12" s="70" t="s">
        <v>188</v>
      </c>
      <c r="C12" s="69">
        <f>5379.5+1783.5+2551.12+3596</f>
        <v>13310.119999999999</v>
      </c>
      <c r="D12" s="98"/>
      <c r="E12"/>
      <c r="I12" s="126"/>
      <c r="J12" s="127">
        <f>SUM(J7:J11)</f>
        <v>524873.19999999995</v>
      </c>
      <c r="M12"/>
      <c r="N12" t="s">
        <v>203</v>
      </c>
      <c r="O12" s="1">
        <v>500</v>
      </c>
    </row>
    <row r="13" spans="1:18" x14ac:dyDescent="0.3">
      <c r="B13" s="83" t="s">
        <v>37</v>
      </c>
      <c r="C13" s="64"/>
      <c r="D13" s="107">
        <v>10000</v>
      </c>
      <c r="E13"/>
      <c r="I13" s="1" t="s">
        <v>99</v>
      </c>
      <c r="J13" s="32">
        <f>J12-C44</f>
        <v>-16424.110000000102</v>
      </c>
      <c r="M13" s="41">
        <v>46099</v>
      </c>
      <c r="N13" t="s">
        <v>203</v>
      </c>
      <c r="O13" s="1">
        <v>1000</v>
      </c>
    </row>
    <row r="14" spans="1:18" x14ac:dyDescent="0.3">
      <c r="B14" s="70" t="s">
        <v>7</v>
      </c>
      <c r="C14" s="69"/>
      <c r="D14" s="98">
        <v>2784</v>
      </c>
      <c r="E14"/>
      <c r="G14" s="8"/>
      <c r="M14" s="41">
        <v>46100</v>
      </c>
      <c r="N14" t="s">
        <v>204</v>
      </c>
      <c r="O14" s="1">
        <v>1500</v>
      </c>
    </row>
    <row r="15" spans="1:18" x14ac:dyDescent="0.3">
      <c r="B15" s="65" t="s">
        <v>38</v>
      </c>
      <c r="C15" s="72"/>
      <c r="D15" s="86"/>
      <c r="E15"/>
      <c r="I15" s="129" t="s">
        <v>193</v>
      </c>
      <c r="J15" s="124"/>
      <c r="M15" s="41">
        <v>46100</v>
      </c>
      <c r="N15" t="s">
        <v>204</v>
      </c>
      <c r="O15" s="1">
        <v>1000</v>
      </c>
    </row>
    <row r="16" spans="1:18" x14ac:dyDescent="0.3">
      <c r="B16" s="70" t="s">
        <v>102</v>
      </c>
      <c r="C16" s="69"/>
      <c r="D16" s="98"/>
      <c r="E16"/>
      <c r="F16" s="8">
        <v>6970</v>
      </c>
      <c r="G16" s="8">
        <v>8526</v>
      </c>
      <c r="I16" s="130" t="s">
        <v>59</v>
      </c>
      <c r="J16" s="125">
        <v>4000</v>
      </c>
      <c r="M16" s="41">
        <v>46101</v>
      </c>
      <c r="N16" t="s">
        <v>205</v>
      </c>
      <c r="O16" s="1">
        <v>1000</v>
      </c>
    </row>
    <row r="17" spans="1:17" x14ac:dyDescent="0.3">
      <c r="B17" s="65" t="s">
        <v>214</v>
      </c>
      <c r="C17" s="64"/>
      <c r="D17" s="86">
        <v>3795.01</v>
      </c>
      <c r="E17"/>
      <c r="I17" s="130" t="s">
        <v>61</v>
      </c>
      <c r="J17" s="125">
        <v>3000</v>
      </c>
      <c r="O17" s="3">
        <f>SUM(O9:O16)</f>
        <v>19120</v>
      </c>
    </row>
    <row r="18" spans="1:17" x14ac:dyDescent="0.3">
      <c r="B18" s="70" t="s">
        <v>48</v>
      </c>
      <c r="C18" s="69"/>
      <c r="D18" s="98"/>
      <c r="E18"/>
      <c r="I18" s="130" t="s">
        <v>215</v>
      </c>
      <c r="J18" s="125">
        <v>5800</v>
      </c>
    </row>
    <row r="19" spans="1:17" x14ac:dyDescent="0.3">
      <c r="B19" s="65" t="s">
        <v>49</v>
      </c>
      <c r="C19" s="72"/>
      <c r="D19" s="86"/>
      <c r="E19"/>
      <c r="G19" s="28">
        <v>49247.8</v>
      </c>
      <c r="I19" s="123" t="s">
        <v>238</v>
      </c>
      <c r="J19" s="125">
        <v>2000</v>
      </c>
    </row>
    <row r="20" spans="1:17" x14ac:dyDescent="0.3">
      <c r="B20" s="70" t="s">
        <v>219</v>
      </c>
      <c r="C20" s="69"/>
      <c r="D20" s="98">
        <v>15000</v>
      </c>
      <c r="E20"/>
      <c r="G20" s="28"/>
      <c r="I20" s="130" t="s">
        <v>239</v>
      </c>
      <c r="J20" s="125">
        <v>2800</v>
      </c>
    </row>
    <row r="21" spans="1:17" x14ac:dyDescent="0.3">
      <c r="B21" s="65" t="s">
        <v>134</v>
      </c>
      <c r="C21" s="94">
        <v>1441.56</v>
      </c>
      <c r="D21" s="86"/>
      <c r="E21"/>
      <c r="I21" s="130" t="s">
        <v>62</v>
      </c>
      <c r="J21" s="125">
        <v>1950</v>
      </c>
    </row>
    <row r="22" spans="1:17" x14ac:dyDescent="0.3">
      <c r="B22" s="70" t="s">
        <v>221</v>
      </c>
      <c r="C22" s="69"/>
      <c r="D22" s="98"/>
      <c r="E22"/>
      <c r="F22" s="8">
        <v>32480</v>
      </c>
      <c r="I22" s="130" t="s">
        <v>19</v>
      </c>
      <c r="J22" s="125">
        <v>3500</v>
      </c>
    </row>
    <row r="23" spans="1:17" x14ac:dyDescent="0.3">
      <c r="B23" s="65" t="s">
        <v>107</v>
      </c>
      <c r="C23" s="94">
        <f>(C7+C8+C9+E7+E8+E9+C40+C39)*0.042</f>
        <v>13727.7</v>
      </c>
      <c r="D23" s="86"/>
      <c r="E23"/>
      <c r="I23" s="130" t="s">
        <v>240</v>
      </c>
      <c r="J23" s="125">
        <v>8000</v>
      </c>
    </row>
    <row r="24" spans="1:17" x14ac:dyDescent="0.3">
      <c r="A24" s="1"/>
      <c r="B24" s="70" t="s">
        <v>175</v>
      </c>
      <c r="C24" s="69"/>
      <c r="D24" s="98">
        <v>3970.21</v>
      </c>
      <c r="E24"/>
      <c r="G24" s="8"/>
      <c r="I24" s="134"/>
      <c r="J24" s="132">
        <f>SUM(J16:J23)</f>
        <v>31050</v>
      </c>
    </row>
    <row r="25" spans="1:17" s="1" customFormat="1" x14ac:dyDescent="0.3">
      <c r="B25" s="64" t="s">
        <v>194</v>
      </c>
      <c r="C25" s="72"/>
      <c r="D25" s="108">
        <v>15370</v>
      </c>
      <c r="E25"/>
      <c r="F25" s="8"/>
      <c r="H25" s="8"/>
      <c r="I25" t="s">
        <v>143</v>
      </c>
      <c r="J25" s="1">
        <v>3500</v>
      </c>
      <c r="L25"/>
      <c r="M25" s="1">
        <f>17+5+13</f>
        <v>35</v>
      </c>
      <c r="N25"/>
      <c r="Q25"/>
    </row>
    <row r="26" spans="1:17" s="1" customFormat="1" x14ac:dyDescent="0.3">
      <c r="B26" s="69" t="s">
        <v>194</v>
      </c>
      <c r="C26" s="69"/>
      <c r="D26" s="98"/>
      <c r="E26"/>
      <c r="F26" s="8">
        <v>15370</v>
      </c>
      <c r="H26" s="8"/>
      <c r="I26"/>
      <c r="J26" s="1">
        <f>J24+4000</f>
        <v>35050</v>
      </c>
      <c r="L26"/>
      <c r="M26" s="1">
        <v>57</v>
      </c>
      <c r="N26"/>
      <c r="Q26"/>
    </row>
    <row r="27" spans="1:17" s="1" customFormat="1" x14ac:dyDescent="0.3">
      <c r="B27" s="64" t="s">
        <v>222</v>
      </c>
      <c r="C27" s="94">
        <f>57002.4+4640-30000</f>
        <v>31642.400000000001</v>
      </c>
      <c r="D27" s="79"/>
      <c r="E27"/>
      <c r="F27" s="8"/>
      <c r="H27" s="8"/>
      <c r="I27"/>
      <c r="L27"/>
      <c r="M27" s="1">
        <f>SUM(M25:M26)</f>
        <v>92</v>
      </c>
      <c r="N27"/>
      <c r="Q27"/>
    </row>
    <row r="28" spans="1:17" s="1" customFormat="1" x14ac:dyDescent="0.3">
      <c r="B28" s="69" t="s">
        <v>114</v>
      </c>
      <c r="C28" s="69"/>
      <c r="D28" s="98"/>
      <c r="E28"/>
      <c r="F28" s="8"/>
      <c r="H28" s="8"/>
      <c r="L28"/>
      <c r="N28"/>
      <c r="Q28"/>
    </row>
    <row r="29" spans="1:17" s="1" customFormat="1" x14ac:dyDescent="0.3">
      <c r="B29" s="72" t="s">
        <v>132</v>
      </c>
      <c r="C29" s="72"/>
      <c r="D29" s="86">
        <v>4750.2</v>
      </c>
      <c r="E29"/>
      <c r="F29" s="8"/>
      <c r="H29" s="8"/>
      <c r="I29"/>
      <c r="L29"/>
      <c r="N29"/>
      <c r="Q29"/>
    </row>
    <row r="30" spans="1:17" s="1" customFormat="1" x14ac:dyDescent="0.3">
      <c r="B30" s="69" t="s">
        <v>223</v>
      </c>
      <c r="C30" s="69"/>
      <c r="D30" s="98"/>
      <c r="E30"/>
      <c r="F30" s="8"/>
      <c r="G30" s="16">
        <v>30000</v>
      </c>
      <c r="H30" s="22"/>
      <c r="I30">
        <f>1600/15</f>
        <v>106.66666666666667</v>
      </c>
      <c r="J30" s="3"/>
      <c r="L30"/>
      <c r="N30"/>
      <c r="Q30"/>
    </row>
    <row r="31" spans="1:17" s="1" customFormat="1" x14ac:dyDescent="0.3">
      <c r="B31" s="64" t="s">
        <v>11</v>
      </c>
      <c r="C31" s="92">
        <v>20000</v>
      </c>
      <c r="D31" s="79"/>
      <c r="E31"/>
      <c r="F31" s="8"/>
      <c r="G31" s="16"/>
      <c r="H31" s="22"/>
      <c r="I31" s="1">
        <f>I30/30</f>
        <v>3.5555555555555558</v>
      </c>
      <c r="L31"/>
      <c r="N31"/>
      <c r="Q31"/>
    </row>
    <row r="32" spans="1:17" s="1" customFormat="1" x14ac:dyDescent="0.3">
      <c r="B32" s="69" t="s">
        <v>150</v>
      </c>
      <c r="C32" s="69"/>
      <c r="D32" s="98"/>
      <c r="E32"/>
      <c r="F32" s="8"/>
      <c r="G32" s="1">
        <f>47000-E32</f>
        <v>47000</v>
      </c>
      <c r="H32" s="22"/>
      <c r="L32"/>
      <c r="N32"/>
      <c r="Q32"/>
    </row>
    <row r="33" spans="1:17" s="1" customFormat="1" x14ac:dyDescent="0.3">
      <c r="B33" s="64" t="s">
        <v>160</v>
      </c>
      <c r="C33" s="90">
        <v>18000</v>
      </c>
      <c r="D33" s="79"/>
      <c r="E33"/>
      <c r="F33" s="8">
        <f>1450*5</f>
        <v>7250</v>
      </c>
      <c r="H33" s="22"/>
      <c r="L33"/>
      <c r="N33"/>
      <c r="Q33"/>
    </row>
    <row r="34" spans="1:17" s="1" customFormat="1" x14ac:dyDescent="0.3">
      <c r="B34" s="69" t="s">
        <v>161</v>
      </c>
      <c r="C34" s="69">
        <v>28739</v>
      </c>
      <c r="D34" s="98"/>
      <c r="E34"/>
      <c r="F34" s="8"/>
      <c r="H34" s="22"/>
      <c r="L34"/>
      <c r="N34"/>
      <c r="Q34"/>
    </row>
    <row r="35" spans="1:17" s="1" customFormat="1" x14ac:dyDescent="0.3">
      <c r="B35" s="64" t="s">
        <v>161</v>
      </c>
      <c r="C35" s="94">
        <f>16.9*1.16*500</f>
        <v>9801.9999999999982</v>
      </c>
      <c r="D35" s="86"/>
      <c r="E35"/>
      <c r="F35" s="8"/>
      <c r="H35" s="22"/>
      <c r="L35"/>
      <c r="N35"/>
      <c r="Q35"/>
    </row>
    <row r="36" spans="1:17" s="1" customFormat="1" x14ac:dyDescent="0.3">
      <c r="B36" s="69" t="s">
        <v>143</v>
      </c>
      <c r="C36" s="69"/>
      <c r="D36" s="98"/>
      <c r="E36"/>
      <c r="F36" s="8"/>
      <c r="H36" s="22"/>
      <c r="L36"/>
      <c r="N36"/>
      <c r="Q36"/>
    </row>
    <row r="37" spans="1:17" s="1" customFormat="1" x14ac:dyDescent="0.3">
      <c r="B37" s="64" t="s">
        <v>241</v>
      </c>
      <c r="C37" s="94">
        <v>2277.13</v>
      </c>
      <c r="D37" s="86"/>
      <c r="E37"/>
      <c r="F37" s="8"/>
      <c r="H37" s="22"/>
      <c r="L37"/>
      <c r="N37"/>
      <c r="Q37"/>
    </row>
    <row r="38" spans="1:17" s="1" customFormat="1" x14ac:dyDescent="0.3">
      <c r="B38" s="69" t="s">
        <v>242</v>
      </c>
      <c r="C38" s="69">
        <v>3888</v>
      </c>
      <c r="D38" s="98"/>
      <c r="E38"/>
      <c r="F38" s="8"/>
      <c r="H38" s="22"/>
      <c r="I38" s="1">
        <f>6*60*4</f>
        <v>1440</v>
      </c>
      <c r="L38"/>
      <c r="N38"/>
      <c r="Q38"/>
    </row>
    <row r="39" spans="1:17" x14ac:dyDescent="0.3">
      <c r="A39" s="1"/>
      <c r="B39" s="64" t="s">
        <v>32</v>
      </c>
      <c r="C39" s="92">
        <v>85800</v>
      </c>
      <c r="D39" s="79"/>
      <c r="E39"/>
      <c r="H39" s="22"/>
    </row>
    <row r="40" spans="1:17" x14ac:dyDescent="0.3">
      <c r="A40" s="1"/>
      <c r="B40" s="69" t="s">
        <v>32</v>
      </c>
      <c r="C40" s="69">
        <v>100000</v>
      </c>
      <c r="D40" s="98"/>
      <c r="E40"/>
      <c r="H40" s="22"/>
    </row>
    <row r="41" spans="1:17" x14ac:dyDescent="0.3">
      <c r="A41" s="1"/>
      <c r="B41" s="64" t="s">
        <v>243</v>
      </c>
      <c r="C41" s="94">
        <f>2329+1790+330+5499.9+688.35+737.5+1050</f>
        <v>12424.75</v>
      </c>
      <c r="D41" s="86"/>
      <c r="E41"/>
      <c r="H41" s="22"/>
    </row>
    <row r="42" spans="1:17" x14ac:dyDescent="0.3">
      <c r="A42" s="1"/>
      <c r="B42" s="69" t="s">
        <v>244</v>
      </c>
      <c r="C42" s="69">
        <v>18768</v>
      </c>
      <c r="D42" s="98"/>
      <c r="E42"/>
      <c r="H42" s="22"/>
    </row>
    <row r="43" spans="1:17" x14ac:dyDescent="0.3">
      <c r="A43" s="1"/>
      <c r="B43" s="64" t="s">
        <v>224</v>
      </c>
      <c r="C43" s="64"/>
      <c r="D43" s="86"/>
      <c r="E43"/>
      <c r="H43" s="22"/>
    </row>
    <row r="44" spans="1:17" s="1" customFormat="1" x14ac:dyDescent="0.3">
      <c r="A44"/>
      <c r="B44" s="70"/>
      <c r="C44" s="71">
        <f>SUM(C7:C43)</f>
        <v>541297.31000000006</v>
      </c>
      <c r="D44" s="101">
        <f>SUM(D7:D43)</f>
        <v>55669.42</v>
      </c>
      <c r="E44"/>
      <c r="F44" s="22"/>
      <c r="G44" s="15">
        <f>SUM(G7:G39)</f>
        <v>134773.79999999999</v>
      </c>
      <c r="H44" s="22"/>
      <c r="L44"/>
      <c r="N44"/>
      <c r="Q44"/>
    </row>
    <row r="45" spans="1:17" s="1" customFormat="1" x14ac:dyDescent="0.3">
      <c r="A45"/>
      <c r="B45" s="65"/>
      <c r="C45" s="88"/>
      <c r="D45" s="79"/>
      <c r="E45"/>
      <c r="F45" s="38"/>
      <c r="H45" s="8"/>
      <c r="L45"/>
      <c r="N45"/>
      <c r="Q45"/>
    </row>
    <row r="46" spans="1:17" s="1" customFormat="1" x14ac:dyDescent="0.3">
      <c r="A46"/>
      <c r="B46" s="70"/>
      <c r="C46" s="91"/>
      <c r="D46" s="98"/>
      <c r="E46"/>
      <c r="F46" s="38"/>
      <c r="H46" s="8"/>
      <c r="L46"/>
      <c r="N46"/>
      <c r="Q46"/>
    </row>
    <row r="47" spans="1:17" s="1" customFormat="1" x14ac:dyDescent="0.3">
      <c r="A47"/>
      <c r="B47" s="64"/>
      <c r="C47" s="64"/>
      <c r="D47" s="79">
        <v>750</v>
      </c>
      <c r="E47"/>
      <c r="F47" s="38"/>
      <c r="H47" s="8"/>
      <c r="L47"/>
      <c r="N47"/>
    </row>
    <row r="48" spans="1:17" s="1" customFormat="1" x14ac:dyDescent="0.3">
      <c r="A48"/>
      <c r="B48" s="69"/>
      <c r="C48" s="69"/>
      <c r="D48" s="98">
        <v>2250</v>
      </c>
      <c r="E48"/>
      <c r="F48" s="38"/>
      <c r="H48" s="8"/>
      <c r="L48"/>
      <c r="N48"/>
      <c r="Q48"/>
    </row>
    <row r="49" spans="1:14" s="1" customFormat="1" x14ac:dyDescent="0.3">
      <c r="B49" s="65"/>
      <c r="C49" s="72"/>
      <c r="D49" s="79"/>
      <c r="E49"/>
      <c r="F49" s="38"/>
      <c r="H49" s="8"/>
      <c r="L49"/>
      <c r="N49"/>
    </row>
    <row r="50" spans="1:14" s="1" customFormat="1" x14ac:dyDescent="0.3">
      <c r="A50"/>
      <c r="B50" s="239" t="s">
        <v>432</v>
      </c>
      <c r="C50" s="240"/>
      <c r="D50" s="98"/>
      <c r="E50"/>
      <c r="F50" s="38"/>
      <c r="H50" s="8"/>
      <c r="N50"/>
    </row>
    <row r="51" spans="1:14" s="1" customFormat="1" x14ac:dyDescent="0.3">
      <c r="B51" s="93" t="s">
        <v>226</v>
      </c>
      <c r="C51" s="64" t="s">
        <v>227</v>
      </c>
      <c r="D51" s="180"/>
      <c r="E51"/>
      <c r="F51" s="38"/>
      <c r="H51" s="8"/>
      <c r="I51" s="218" t="s">
        <v>429</v>
      </c>
      <c r="N51"/>
    </row>
    <row r="52" spans="1:14" x14ac:dyDescent="0.3">
      <c r="A52" s="1"/>
      <c r="B52" s="70" t="s">
        <v>228</v>
      </c>
      <c r="C52" s="69" t="s">
        <v>227</v>
      </c>
      <c r="D52" s="179"/>
      <c r="E52"/>
      <c r="I52" s="186"/>
      <c r="J52" s="217">
        <v>96000</v>
      </c>
      <c r="K52" s="217"/>
      <c r="L52" s="204"/>
    </row>
    <row r="53" spans="1:14" x14ac:dyDescent="0.3">
      <c r="A53" s="1"/>
      <c r="B53" s="65" t="s">
        <v>229</v>
      </c>
      <c r="C53" s="64" t="s">
        <v>227</v>
      </c>
      <c r="D53" s="180"/>
      <c r="E53"/>
      <c r="I53" s="208"/>
      <c r="J53" s="121">
        <v>30000</v>
      </c>
      <c r="K53" s="121"/>
      <c r="L53" s="196"/>
    </row>
    <row r="54" spans="1:14" x14ac:dyDescent="0.3">
      <c r="B54" s="192" t="s">
        <v>230</v>
      </c>
      <c r="C54" s="196" t="s">
        <v>227</v>
      </c>
      <c r="E54"/>
      <c r="I54" s="208" t="s">
        <v>245</v>
      </c>
      <c r="J54" s="50">
        <f>-85800*1.04</f>
        <v>-89232</v>
      </c>
      <c r="K54" s="121">
        <v>80000</v>
      </c>
      <c r="L54" s="196">
        <f>K54*1.045</f>
        <v>83600</v>
      </c>
    </row>
    <row r="55" spans="1:14" x14ac:dyDescent="0.3">
      <c r="B55" s="192" t="s">
        <v>231</v>
      </c>
      <c r="C55" s="196" t="s">
        <v>232</v>
      </c>
      <c r="E55"/>
      <c r="I55" s="208" t="s">
        <v>1</v>
      </c>
      <c r="J55" s="50">
        <v>-20000</v>
      </c>
      <c r="K55" s="121"/>
      <c r="L55" s="196">
        <v>20000</v>
      </c>
    </row>
    <row r="56" spans="1:14" x14ac:dyDescent="0.3">
      <c r="B56" s="195" t="s">
        <v>233</v>
      </c>
      <c r="C56" s="197" t="s">
        <v>232</v>
      </c>
      <c r="E56"/>
      <c r="I56" s="208" t="s">
        <v>246</v>
      </c>
      <c r="J56" s="50">
        <f>-16.9*1.16*500</f>
        <v>-9801.9999999999982</v>
      </c>
      <c r="K56" s="121"/>
      <c r="L56" s="196">
        <v>10000</v>
      </c>
    </row>
    <row r="57" spans="1:14" x14ac:dyDescent="0.3">
      <c r="E57"/>
      <c r="I57" s="208"/>
      <c r="J57" s="50">
        <f>SUM(J52:J56)</f>
        <v>6966.0000000000018</v>
      </c>
      <c r="K57" s="121"/>
      <c r="L57" s="196">
        <f>SUM(L54:L56)</f>
        <v>113600</v>
      </c>
    </row>
    <row r="58" spans="1:14" x14ac:dyDescent="0.3">
      <c r="E58"/>
      <c r="I58" s="209"/>
      <c r="J58" s="191"/>
      <c r="K58" s="191"/>
      <c r="L58" s="197">
        <f>J52+J53-L57</f>
        <v>12400</v>
      </c>
    </row>
    <row r="59" spans="1:14" x14ac:dyDescent="0.3">
      <c r="L59" s="1"/>
    </row>
  </sheetData>
  <mergeCells count="1">
    <mergeCell ref="Q1:R1"/>
  </mergeCells>
  <conditionalFormatting sqref="R6">
    <cfRule type="cellIs" dxfId="11" priority="1" operator="lessThan">
      <formula>0</formula>
    </cfRule>
  </conditionalFormatting>
  <conditionalFormatting sqref="R6">
    <cfRule type="cellIs" dxfId="1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54D6-627F-4C4A-931A-80389D72BA25}">
  <dimension ref="A1:P66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1.441406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8.33203125" style="1" customWidth="1"/>
    <col min="11" max="11" width="18.44140625" customWidth="1"/>
    <col min="12" max="12" width="13.33203125" style="1" customWidth="1"/>
    <col min="13" max="13" width="26.44140625" customWidth="1"/>
    <col min="14" max="14" width="22.21875" style="1" customWidth="1"/>
    <col min="15" max="15" width="11.5546875" style="1"/>
    <col min="18" max="18" width="22.21875" customWidth="1"/>
  </cols>
  <sheetData>
    <row r="1" spans="1:15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 s="269" t="s">
        <v>449</v>
      </c>
      <c r="O1" s="269"/>
    </row>
    <row r="2" spans="1:15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 s="85" t="s">
        <v>425</v>
      </c>
      <c r="O2" s="273">
        <f>C51</f>
        <v>330644.32</v>
      </c>
    </row>
    <row r="3" spans="1:15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 s="85" t="s">
        <v>269</v>
      </c>
      <c r="O3" s="273">
        <f>D51</f>
        <v>52600.2</v>
      </c>
    </row>
    <row r="4" spans="1:15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 s="85" t="s">
        <v>423</v>
      </c>
      <c r="O4" s="273">
        <f>I13</f>
        <v>333976</v>
      </c>
    </row>
    <row r="5" spans="1:15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 s="85" t="s">
        <v>424</v>
      </c>
      <c r="O5" s="273">
        <f>I24</f>
        <v>19750</v>
      </c>
    </row>
    <row r="6" spans="1:15" ht="17.399999999999999" x14ac:dyDescent="0.35">
      <c r="B6" s="68" t="s">
        <v>247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N6" s="274" t="s">
        <v>444</v>
      </c>
      <c r="O6" s="275">
        <f>O4-O5-O2</f>
        <v>-16418.320000000007</v>
      </c>
    </row>
    <row r="7" spans="1:15" x14ac:dyDescent="0.3">
      <c r="B7" s="65" t="s">
        <v>30</v>
      </c>
      <c r="C7" s="94">
        <v>110000</v>
      </c>
      <c r="D7" s="86"/>
      <c r="E7"/>
      <c r="H7" s="123" t="s">
        <v>172</v>
      </c>
      <c r="I7" s="125">
        <v>121000</v>
      </c>
      <c r="J7" s="42">
        <v>46139</v>
      </c>
      <c r="M7" s="2"/>
    </row>
    <row r="8" spans="1:15" x14ac:dyDescent="0.3">
      <c r="B8" s="70" t="s">
        <v>248</v>
      </c>
      <c r="C8" s="69">
        <v>10000</v>
      </c>
      <c r="D8" s="98"/>
      <c r="E8"/>
      <c r="H8" s="123" t="s">
        <v>249</v>
      </c>
      <c r="I8" s="125">
        <v>212976</v>
      </c>
      <c r="J8" s="42">
        <v>46142</v>
      </c>
      <c r="M8" s="2"/>
    </row>
    <row r="9" spans="1:15" x14ac:dyDescent="0.3">
      <c r="B9" s="65" t="s">
        <v>250</v>
      </c>
      <c r="C9" s="94">
        <v>15645</v>
      </c>
      <c r="D9" s="86"/>
      <c r="E9"/>
      <c r="H9" s="123"/>
      <c r="I9" s="125"/>
      <c r="J9" s="42"/>
      <c r="M9" s="2"/>
    </row>
    <row r="10" spans="1:15" x14ac:dyDescent="0.3">
      <c r="B10" s="70" t="s">
        <v>41</v>
      </c>
      <c r="C10" s="69">
        <f>I24</f>
        <v>19750</v>
      </c>
      <c r="D10" s="98"/>
      <c r="E10"/>
      <c r="H10" s="123" t="s">
        <v>251</v>
      </c>
      <c r="I10" s="125"/>
      <c r="J10" s="42" t="s">
        <v>252</v>
      </c>
      <c r="M10" s="2"/>
    </row>
    <row r="11" spans="1:15" x14ac:dyDescent="0.3">
      <c r="B11" s="65" t="s">
        <v>107</v>
      </c>
      <c r="C11" s="94">
        <f>(D7+D8+D10+C7+C8+C10+C9+D9)*0.042</f>
        <v>6526.59</v>
      </c>
      <c r="D11" s="86"/>
      <c r="E11"/>
      <c r="H11" s="123"/>
      <c r="I11" s="125"/>
      <c r="J11" s="42"/>
      <c r="M11" s="2"/>
    </row>
    <row r="12" spans="1:15" x14ac:dyDescent="0.3">
      <c r="B12" s="70" t="s">
        <v>2</v>
      </c>
      <c r="C12" s="69"/>
      <c r="D12" s="98"/>
      <c r="E12"/>
      <c r="H12" s="123" t="s">
        <v>237</v>
      </c>
      <c r="I12" s="125"/>
      <c r="M12" s="2"/>
    </row>
    <row r="13" spans="1:15" x14ac:dyDescent="0.3">
      <c r="B13" s="95" t="s">
        <v>253</v>
      </c>
      <c r="C13" s="94">
        <v>10788</v>
      </c>
      <c r="D13" s="86"/>
      <c r="E13"/>
      <c r="H13" s="126"/>
      <c r="I13" s="127">
        <f>SUM(I7:I12)</f>
        <v>333976</v>
      </c>
      <c r="M13" s="2"/>
    </row>
    <row r="14" spans="1:15" x14ac:dyDescent="0.3">
      <c r="B14" s="70" t="s">
        <v>254</v>
      </c>
      <c r="C14" s="69">
        <f>3626+3596</f>
        <v>7222</v>
      </c>
      <c r="D14" s="98"/>
      <c r="E14"/>
      <c r="H14" s="1" t="s">
        <v>99</v>
      </c>
      <c r="I14" s="32">
        <f>I13-C51</f>
        <v>3331.679999999993</v>
      </c>
      <c r="M14" s="2"/>
    </row>
    <row r="15" spans="1:15" x14ac:dyDescent="0.3">
      <c r="B15" s="83" t="s">
        <v>37</v>
      </c>
      <c r="C15" s="94">
        <v>10000</v>
      </c>
      <c r="D15" s="79"/>
      <c r="E15"/>
      <c r="M15" s="2"/>
    </row>
    <row r="16" spans="1:15" x14ac:dyDescent="0.3">
      <c r="B16" s="70" t="s">
        <v>7</v>
      </c>
      <c r="C16" s="69">
        <v>2784</v>
      </c>
      <c r="D16" s="98"/>
      <c r="E16"/>
      <c r="F16" s="8"/>
      <c r="M16" s="2"/>
    </row>
    <row r="17" spans="1:16" x14ac:dyDescent="0.3">
      <c r="B17" s="65" t="s">
        <v>38</v>
      </c>
      <c r="C17" s="72">
        <f>4476.15*2</f>
        <v>8952.2999999999993</v>
      </c>
      <c r="D17" s="79"/>
      <c r="E17"/>
      <c r="H17" s="129" t="s">
        <v>193</v>
      </c>
      <c r="I17" s="124"/>
      <c r="M17" s="2"/>
    </row>
    <row r="18" spans="1:16" x14ac:dyDescent="0.3">
      <c r="B18" s="70" t="s">
        <v>102</v>
      </c>
      <c r="C18" s="69"/>
      <c r="D18" s="98"/>
      <c r="E18"/>
      <c r="F18" s="8"/>
      <c r="H18" s="130" t="s">
        <v>59</v>
      </c>
      <c r="I18" s="125">
        <v>4000</v>
      </c>
      <c r="M18" s="2"/>
    </row>
    <row r="19" spans="1:16" x14ac:dyDescent="0.3">
      <c r="B19" s="65" t="s">
        <v>214</v>
      </c>
      <c r="C19" s="94">
        <v>3795.01</v>
      </c>
      <c r="D19" s="86"/>
      <c r="E19"/>
      <c r="H19" s="130" t="s">
        <v>61</v>
      </c>
      <c r="I19" s="125">
        <v>3000</v>
      </c>
      <c r="J19" s="1" t="s">
        <v>255</v>
      </c>
      <c r="M19" s="2"/>
    </row>
    <row r="20" spans="1:16" x14ac:dyDescent="0.3">
      <c r="B20" s="70" t="s">
        <v>48</v>
      </c>
      <c r="C20" s="69"/>
      <c r="D20" s="98"/>
      <c r="E20"/>
      <c r="H20" s="130" t="s">
        <v>239</v>
      </c>
      <c r="I20" s="125">
        <v>2800</v>
      </c>
      <c r="M20" s="2"/>
    </row>
    <row r="21" spans="1:16" x14ac:dyDescent="0.3">
      <c r="B21" s="65" t="s">
        <v>49</v>
      </c>
      <c r="C21" s="72"/>
      <c r="D21" s="86"/>
      <c r="E21"/>
      <c r="F21" s="28">
        <v>49247.8</v>
      </c>
      <c r="H21" s="130" t="s">
        <v>62</v>
      </c>
      <c r="I21" s="125">
        <v>1950</v>
      </c>
    </row>
    <row r="22" spans="1:16" x14ac:dyDescent="0.3">
      <c r="B22" s="70" t="s">
        <v>219</v>
      </c>
      <c r="C22" s="69">
        <v>14500</v>
      </c>
      <c r="D22" s="98"/>
      <c r="E22"/>
      <c r="F22" s="28"/>
      <c r="H22" s="130" t="s">
        <v>19</v>
      </c>
      <c r="I22" s="125">
        <v>3000</v>
      </c>
    </row>
    <row r="23" spans="1:16" x14ac:dyDescent="0.3">
      <c r="B23" s="65" t="s">
        <v>134</v>
      </c>
      <c r="C23" s="72"/>
      <c r="D23" s="86"/>
      <c r="E23"/>
      <c r="H23" s="130" t="s">
        <v>240</v>
      </c>
      <c r="I23" s="125">
        <v>5000</v>
      </c>
      <c r="J23" s="1">
        <v>3000</v>
      </c>
      <c r="K23" t="s">
        <v>256</v>
      </c>
    </row>
    <row r="24" spans="1:16" x14ac:dyDescent="0.3">
      <c r="B24" s="70" t="s">
        <v>221</v>
      </c>
      <c r="C24" s="69"/>
      <c r="D24" s="98">
        <v>32480</v>
      </c>
      <c r="E24"/>
      <c r="H24" s="134"/>
      <c r="I24" s="132">
        <f>SUM(I18:I23)</f>
        <v>19750</v>
      </c>
    </row>
    <row r="25" spans="1:16" x14ac:dyDescent="0.3">
      <c r="B25" s="65"/>
      <c r="C25" s="64"/>
      <c r="D25" s="79"/>
      <c r="E25"/>
    </row>
    <row r="26" spans="1:16" x14ac:dyDescent="0.3">
      <c r="A26" s="1"/>
      <c r="B26" s="70" t="s">
        <v>175</v>
      </c>
      <c r="C26" s="69">
        <v>3970.21</v>
      </c>
      <c r="D26" s="98"/>
      <c r="E26"/>
      <c r="F26" s="8"/>
    </row>
    <row r="27" spans="1:16" s="1" customFormat="1" x14ac:dyDescent="0.3">
      <c r="B27" s="64" t="s">
        <v>194</v>
      </c>
      <c r="C27" s="94">
        <v>15370</v>
      </c>
      <c r="D27" s="79"/>
      <c r="E27"/>
      <c r="G27" s="8"/>
      <c r="H27" t="s">
        <v>143</v>
      </c>
      <c r="I27" s="1">
        <v>3500</v>
      </c>
      <c r="K27"/>
      <c r="L27" s="1">
        <f>17+5+13</f>
        <v>35</v>
      </c>
      <c r="M27"/>
      <c r="P27"/>
    </row>
    <row r="28" spans="1:16" s="1" customFormat="1" x14ac:dyDescent="0.3">
      <c r="B28" s="69" t="s">
        <v>194</v>
      </c>
      <c r="C28" s="69"/>
      <c r="D28" s="98">
        <v>15370</v>
      </c>
      <c r="E28"/>
      <c r="G28" s="8"/>
      <c r="H28"/>
      <c r="I28" s="1">
        <f>I24+4000</f>
        <v>23750</v>
      </c>
      <c r="K28"/>
      <c r="L28" s="1">
        <v>57</v>
      </c>
      <c r="M28"/>
      <c r="P28"/>
    </row>
    <row r="29" spans="1:16" s="1" customFormat="1" x14ac:dyDescent="0.3">
      <c r="B29" s="64" t="s">
        <v>222</v>
      </c>
      <c r="C29" s="72"/>
      <c r="D29" s="79"/>
      <c r="E29"/>
      <c r="G29" s="8"/>
      <c r="H29"/>
      <c r="K29"/>
      <c r="L29" s="1">
        <f>SUM(L27:L28)</f>
        <v>92</v>
      </c>
      <c r="M29"/>
      <c r="P29"/>
    </row>
    <row r="30" spans="1:16" s="1" customFormat="1" x14ac:dyDescent="0.3">
      <c r="B30" s="69" t="s">
        <v>114</v>
      </c>
      <c r="C30" s="69"/>
      <c r="D30" s="98"/>
      <c r="E30"/>
      <c r="G30" s="8"/>
      <c r="K30"/>
      <c r="M30"/>
      <c r="P30"/>
    </row>
    <row r="31" spans="1:16" s="1" customFormat="1" x14ac:dyDescent="0.3">
      <c r="B31" s="72" t="s">
        <v>132</v>
      </c>
      <c r="C31" s="72"/>
      <c r="D31" s="109">
        <v>4750.2</v>
      </c>
      <c r="E31"/>
      <c r="G31" s="8"/>
      <c r="H31"/>
      <c r="K31"/>
      <c r="M31"/>
      <c r="P31"/>
    </row>
    <row r="32" spans="1:16" s="1" customFormat="1" x14ac:dyDescent="0.3">
      <c r="B32" s="69" t="s">
        <v>223</v>
      </c>
      <c r="C32" s="69"/>
      <c r="D32" s="98"/>
      <c r="E32"/>
      <c r="F32" s="16">
        <v>30000</v>
      </c>
      <c r="G32" s="22"/>
      <c r="H32">
        <f>1600/15</f>
        <v>106.66666666666667</v>
      </c>
      <c r="I32" s="3"/>
      <c r="K32"/>
      <c r="M32"/>
      <c r="P32"/>
    </row>
    <row r="33" spans="1:16" s="1" customFormat="1" x14ac:dyDescent="0.3">
      <c r="B33" s="64" t="s">
        <v>11</v>
      </c>
      <c r="C33" s="72"/>
      <c r="D33" s="79"/>
      <c r="E33"/>
      <c r="F33" s="16"/>
      <c r="G33" s="22"/>
      <c r="H33" s="1">
        <f>H32/30</f>
        <v>3.5555555555555558</v>
      </c>
      <c r="K33"/>
      <c r="M33"/>
      <c r="P33"/>
    </row>
    <row r="34" spans="1:16" s="1" customFormat="1" x14ac:dyDescent="0.3">
      <c r="B34" s="69" t="s">
        <v>150</v>
      </c>
      <c r="C34" s="69"/>
      <c r="D34" s="98"/>
      <c r="E34"/>
      <c r="F34" s="1">
        <f>47000</f>
        <v>47000</v>
      </c>
      <c r="G34" s="22"/>
      <c r="K34"/>
      <c r="M34"/>
      <c r="P34"/>
    </row>
    <row r="35" spans="1:16" s="1" customFormat="1" x14ac:dyDescent="0.3">
      <c r="B35" s="64" t="s">
        <v>160</v>
      </c>
      <c r="C35" s="72"/>
      <c r="D35" s="79"/>
      <c r="E35"/>
      <c r="G35" s="22"/>
      <c r="K35"/>
      <c r="M35"/>
      <c r="P35"/>
    </row>
    <row r="36" spans="1:16" s="1" customFormat="1" x14ac:dyDescent="0.3">
      <c r="B36" s="69" t="s">
        <v>161</v>
      </c>
      <c r="C36" s="69">
        <v>9135</v>
      </c>
      <c r="D36" s="98"/>
      <c r="E36"/>
      <c r="G36" s="22"/>
      <c r="K36"/>
      <c r="M36"/>
      <c r="P36"/>
    </row>
    <row r="37" spans="1:16" s="1" customFormat="1" x14ac:dyDescent="0.3">
      <c r="B37" s="64" t="s">
        <v>161</v>
      </c>
      <c r="C37" s="94">
        <v>11629</v>
      </c>
      <c r="D37" s="86"/>
      <c r="E37"/>
      <c r="G37" s="22"/>
      <c r="K37"/>
      <c r="M37"/>
      <c r="P37"/>
    </row>
    <row r="38" spans="1:16" s="1" customFormat="1" x14ac:dyDescent="0.3">
      <c r="B38" s="69" t="s">
        <v>161</v>
      </c>
      <c r="C38" s="69">
        <v>9135</v>
      </c>
      <c r="D38" s="98"/>
      <c r="E38"/>
      <c r="G38" s="22"/>
      <c r="K38"/>
      <c r="M38"/>
      <c r="P38"/>
    </row>
    <row r="39" spans="1:16" s="1" customFormat="1" x14ac:dyDescent="0.3">
      <c r="B39" s="64" t="s">
        <v>143</v>
      </c>
      <c r="C39" s="94">
        <f>14200+5400</f>
        <v>19600</v>
      </c>
      <c r="D39" s="86"/>
      <c r="E39"/>
      <c r="G39" s="22"/>
      <c r="K39"/>
      <c r="M39"/>
      <c r="P39"/>
    </row>
    <row r="40" spans="1:16" s="1" customFormat="1" x14ac:dyDescent="0.3">
      <c r="B40" s="69" t="s">
        <v>257</v>
      </c>
      <c r="C40" s="69">
        <v>520</v>
      </c>
      <c r="D40" s="98"/>
      <c r="E40"/>
      <c r="G40" s="22"/>
      <c r="K40"/>
      <c r="M40"/>
      <c r="P40"/>
    </row>
    <row r="41" spans="1:16" s="1" customFormat="1" x14ac:dyDescent="0.3">
      <c r="B41" s="64" t="s">
        <v>241</v>
      </c>
      <c r="C41" s="72"/>
      <c r="D41" s="86"/>
      <c r="E41"/>
      <c r="G41" s="22"/>
      <c r="K41"/>
      <c r="M41"/>
      <c r="P41"/>
    </row>
    <row r="42" spans="1:16" s="1" customFormat="1" x14ac:dyDescent="0.3">
      <c r="B42" s="69" t="s">
        <v>242</v>
      </c>
      <c r="C42" s="69"/>
      <c r="D42" s="98"/>
      <c r="E42"/>
      <c r="G42" s="22"/>
      <c r="H42" s="1">
        <f>6*60*4</f>
        <v>1440</v>
      </c>
      <c r="K42"/>
      <c r="M42"/>
      <c r="P42"/>
    </row>
    <row r="43" spans="1:16" s="1" customFormat="1" x14ac:dyDescent="0.3">
      <c r="B43" s="64" t="s">
        <v>258</v>
      </c>
      <c r="C43" s="94">
        <v>1076</v>
      </c>
      <c r="D43" s="86"/>
      <c r="E43"/>
      <c r="G43" s="22"/>
      <c r="K43"/>
      <c r="M43"/>
      <c r="P43"/>
    </row>
    <row r="44" spans="1:16" x14ac:dyDescent="0.3">
      <c r="A44" s="1"/>
      <c r="B44" s="69" t="s">
        <v>259</v>
      </c>
      <c r="C44" s="69">
        <v>600</v>
      </c>
      <c r="D44" s="98"/>
      <c r="E44"/>
      <c r="G44" s="22"/>
    </row>
    <row r="45" spans="1:16" x14ac:dyDescent="0.3">
      <c r="A45" s="1"/>
      <c r="B45" s="64" t="s">
        <v>260</v>
      </c>
      <c r="C45" s="94">
        <v>10000</v>
      </c>
      <c r="D45" s="86"/>
      <c r="E45"/>
      <c r="G45" s="22"/>
    </row>
    <row r="46" spans="1:16" x14ac:dyDescent="0.3">
      <c r="A46" s="1"/>
      <c r="B46" s="69" t="s">
        <v>261</v>
      </c>
      <c r="C46" s="69">
        <v>3310</v>
      </c>
      <c r="D46" s="98"/>
      <c r="E46"/>
      <c r="G46" s="22"/>
    </row>
    <row r="47" spans="1:16" x14ac:dyDescent="0.3">
      <c r="A47" s="1"/>
      <c r="B47" s="64" t="s">
        <v>243</v>
      </c>
      <c r="C47" s="94">
        <f>7020+3000+1910+290</f>
        <v>12220</v>
      </c>
      <c r="D47" s="86"/>
      <c r="E47"/>
      <c r="G47" s="22"/>
    </row>
    <row r="48" spans="1:16" x14ac:dyDescent="0.3">
      <c r="A48" s="1"/>
      <c r="B48" s="69" t="s">
        <v>262</v>
      </c>
      <c r="C48" s="69">
        <v>2516.21</v>
      </c>
      <c r="D48" s="98"/>
      <c r="E48"/>
      <c r="G48" s="22"/>
    </row>
    <row r="49" spans="1:16" x14ac:dyDescent="0.3">
      <c r="A49" s="1"/>
      <c r="B49" s="64" t="s">
        <v>224</v>
      </c>
      <c r="C49" s="94">
        <v>11600</v>
      </c>
      <c r="D49" s="86" t="s">
        <v>263</v>
      </c>
      <c r="E49"/>
      <c r="G49" s="22"/>
    </row>
    <row r="50" spans="1:16" x14ac:dyDescent="0.3">
      <c r="A50" s="1"/>
      <c r="B50" s="69" t="s">
        <v>264</v>
      </c>
      <c r="C50" s="69">
        <v>2900</v>
      </c>
      <c r="D50" s="98"/>
      <c r="E50"/>
      <c r="G50" s="22"/>
    </row>
    <row r="51" spans="1:16" s="1" customFormat="1" x14ac:dyDescent="0.3">
      <c r="A51"/>
      <c r="B51" s="65"/>
      <c r="C51" s="67">
        <f>SUM(C7:C49)</f>
        <v>330644.32</v>
      </c>
      <c r="D51" s="105">
        <f>SUM(D7:D50)</f>
        <v>52600.2</v>
      </c>
      <c r="E51"/>
      <c r="F51" s="15">
        <f>SUM(F7:F44)</f>
        <v>126247.8</v>
      </c>
      <c r="G51" s="22"/>
      <c r="K51"/>
      <c r="M51"/>
      <c r="P51"/>
    </row>
    <row r="52" spans="1:16" s="1" customFormat="1" x14ac:dyDescent="0.3">
      <c r="A52"/>
      <c r="B52" s="70"/>
      <c r="C52" s="91"/>
      <c r="D52" s="98"/>
      <c r="E52"/>
      <c r="G52" s="8"/>
      <c r="K52"/>
      <c r="M52"/>
      <c r="P52"/>
    </row>
    <row r="53" spans="1:16" s="1" customFormat="1" x14ac:dyDescent="0.3">
      <c r="A53"/>
      <c r="B53" s="65"/>
      <c r="C53" s="88"/>
      <c r="D53" s="79"/>
      <c r="E53"/>
      <c r="G53" s="8"/>
      <c r="K53"/>
      <c r="M53"/>
      <c r="P53"/>
    </row>
    <row r="54" spans="1:16" s="1" customFormat="1" x14ac:dyDescent="0.3">
      <c r="A54"/>
      <c r="B54" s="69"/>
      <c r="C54" s="69"/>
      <c r="D54" s="98"/>
      <c r="E54"/>
      <c r="G54" s="8"/>
      <c r="K54"/>
      <c r="M54"/>
    </row>
    <row r="55" spans="1:16" s="1" customFormat="1" x14ac:dyDescent="0.3">
      <c r="A55"/>
      <c r="B55" s="64"/>
      <c r="C55" s="72"/>
      <c r="D55" s="79">
        <f>D54*3</f>
        <v>0</v>
      </c>
      <c r="E55"/>
      <c r="G55" s="8"/>
      <c r="K55"/>
      <c r="M55"/>
      <c r="P55"/>
    </row>
    <row r="56" spans="1:16" s="1" customFormat="1" x14ac:dyDescent="0.3">
      <c r="B56" s="70"/>
      <c r="C56" s="69"/>
      <c r="D56" s="98"/>
      <c r="E56"/>
      <c r="G56" s="8"/>
      <c r="K56"/>
      <c r="M56"/>
    </row>
    <row r="57" spans="1:16" s="1" customFormat="1" x14ac:dyDescent="0.3">
      <c r="A57"/>
      <c r="B57" s="239" t="s">
        <v>432</v>
      </c>
      <c r="C57" s="238"/>
      <c r="D57" s="79"/>
      <c r="E57"/>
      <c r="G57" s="8"/>
      <c r="M57"/>
    </row>
    <row r="58" spans="1:16" s="1" customFormat="1" x14ac:dyDescent="0.3">
      <c r="B58" s="70" t="s">
        <v>226</v>
      </c>
      <c r="C58" s="69" t="s">
        <v>227</v>
      </c>
      <c r="D58" s="179"/>
      <c r="E58"/>
      <c r="G58" s="8"/>
      <c r="H58" s="218" t="s">
        <v>429</v>
      </c>
      <c r="M58"/>
    </row>
    <row r="59" spans="1:16" x14ac:dyDescent="0.3">
      <c r="A59" s="1"/>
      <c r="B59" s="65" t="s">
        <v>228</v>
      </c>
      <c r="C59" s="64" t="s">
        <v>227</v>
      </c>
      <c r="D59" s="180"/>
      <c r="E59"/>
      <c r="H59" s="186"/>
      <c r="I59" s="217">
        <v>96000</v>
      </c>
      <c r="J59" s="217"/>
      <c r="K59" s="204"/>
    </row>
    <row r="60" spans="1:16" x14ac:dyDescent="0.3">
      <c r="A60" s="1"/>
      <c r="B60" s="70" t="s">
        <v>229</v>
      </c>
      <c r="C60" s="69" t="s">
        <v>227</v>
      </c>
      <c r="D60" s="179"/>
      <c r="E60"/>
      <c r="H60" s="208"/>
      <c r="I60" s="121">
        <v>30000</v>
      </c>
      <c r="J60" s="121"/>
      <c r="K60" s="196"/>
    </row>
    <row r="61" spans="1:16" s="1" customFormat="1" x14ac:dyDescent="0.3">
      <c r="A61"/>
      <c r="B61" s="192" t="s">
        <v>230</v>
      </c>
      <c r="C61" s="196" t="s">
        <v>227</v>
      </c>
      <c r="E61"/>
      <c r="G61" s="8"/>
      <c r="H61" s="208" t="s">
        <v>245</v>
      </c>
      <c r="I61" s="50">
        <f>-85800*1.04</f>
        <v>-89232</v>
      </c>
      <c r="J61" s="121">
        <v>80000</v>
      </c>
      <c r="K61" s="196">
        <f>J61*1.045</f>
        <v>83600</v>
      </c>
      <c r="M61"/>
      <c r="P61"/>
    </row>
    <row r="62" spans="1:16" s="1" customFormat="1" x14ac:dyDescent="0.3">
      <c r="A62"/>
      <c r="B62" s="192" t="s">
        <v>231</v>
      </c>
      <c r="C62" s="196" t="s">
        <v>232</v>
      </c>
      <c r="E62"/>
      <c r="G62" s="8"/>
      <c r="H62" s="208" t="s">
        <v>1</v>
      </c>
      <c r="I62" s="50">
        <v>-20000</v>
      </c>
      <c r="J62" s="121"/>
      <c r="K62" s="196">
        <v>20000</v>
      </c>
      <c r="M62"/>
      <c r="P62"/>
    </row>
    <row r="63" spans="1:16" s="1" customFormat="1" x14ac:dyDescent="0.3">
      <c r="A63"/>
      <c r="B63" s="195" t="s">
        <v>233</v>
      </c>
      <c r="C63" s="197" t="s">
        <v>232</v>
      </c>
      <c r="E63"/>
      <c r="G63" s="8"/>
      <c r="H63" s="208" t="s">
        <v>246</v>
      </c>
      <c r="I63" s="50">
        <f>-16.9*1.16*500</f>
        <v>-9801.9999999999982</v>
      </c>
      <c r="J63" s="121"/>
      <c r="K63" s="196">
        <v>10000</v>
      </c>
      <c r="M63"/>
      <c r="P63"/>
    </row>
    <row r="64" spans="1:16" s="1" customFormat="1" x14ac:dyDescent="0.3">
      <c r="A64"/>
      <c r="B64"/>
      <c r="E64"/>
      <c r="G64" s="8"/>
      <c r="H64" s="208"/>
      <c r="I64" s="50">
        <f>SUM(I59:I63)</f>
        <v>6966.0000000000018</v>
      </c>
      <c r="J64" s="121"/>
      <c r="K64" s="196">
        <f>SUM(K61:K63)</f>
        <v>113600</v>
      </c>
      <c r="M64"/>
      <c r="P64"/>
    </row>
    <row r="65" spans="1:16" s="1" customFormat="1" x14ac:dyDescent="0.3">
      <c r="A65"/>
      <c r="B65"/>
      <c r="E65"/>
      <c r="G65" s="8"/>
      <c r="H65" s="209"/>
      <c r="I65" s="191"/>
      <c r="J65" s="191"/>
      <c r="K65" s="197">
        <f>I59+I60-K64</f>
        <v>12400</v>
      </c>
      <c r="M65"/>
      <c r="P65"/>
    </row>
    <row r="66" spans="1:16" s="1" customFormat="1" x14ac:dyDescent="0.3">
      <c r="A66"/>
      <c r="B66"/>
      <c r="E66" s="8"/>
      <c r="G66" s="8"/>
      <c r="M66"/>
      <c r="P66"/>
    </row>
  </sheetData>
  <mergeCells count="1">
    <mergeCell ref="N1:O1"/>
  </mergeCells>
  <conditionalFormatting sqref="O6">
    <cfRule type="cellIs" dxfId="9" priority="1" operator="lessThan">
      <formula>0</formula>
    </cfRule>
  </conditionalFormatting>
  <conditionalFormatting sqref="O6">
    <cfRule type="cellIs" dxfId="8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7FCC-A2F2-4C66-B0D7-107549ECBDA8}">
  <dimension ref="A1:P63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1.44140625" style="8" bestFit="1" customWidth="1"/>
    <col min="6" max="6" width="12.44140625" style="1" bestFit="1" customWidth="1"/>
    <col min="7" max="7" width="4.6640625" style="8" customWidth="1"/>
    <col min="8" max="8" width="21.44140625" style="1" bestFit="1" customWidth="1"/>
    <col min="9" max="9" width="14.6640625" style="1" customWidth="1"/>
    <col min="10" max="10" width="18.33203125" style="1" customWidth="1"/>
    <col min="11" max="11" width="18.44140625" customWidth="1"/>
    <col min="12" max="12" width="13.33203125" style="1" customWidth="1"/>
    <col min="13" max="13" width="22.21875" customWidth="1"/>
    <col min="14" max="14" width="15.5546875" style="1" customWidth="1"/>
    <col min="15" max="15" width="11.5546875" style="1"/>
    <col min="18" max="18" width="22.21875" customWidth="1"/>
  </cols>
  <sheetData>
    <row r="1" spans="1:14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M1" s="269" t="s">
        <v>450</v>
      </c>
      <c r="N1" s="269"/>
    </row>
    <row r="2" spans="1:14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M2" s="85" t="s">
        <v>425</v>
      </c>
      <c r="N2" s="270">
        <f>C46</f>
        <v>180013.84000000003</v>
      </c>
    </row>
    <row r="3" spans="1:14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M3" s="85" t="s">
        <v>269</v>
      </c>
      <c r="N3" s="270">
        <f>D46</f>
        <v>112478.90000000001</v>
      </c>
    </row>
    <row r="4" spans="1:14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M4" s="85" t="s">
        <v>423</v>
      </c>
      <c r="N4" s="270">
        <f>I13</f>
        <v>193267.8</v>
      </c>
    </row>
    <row r="5" spans="1:14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M5" s="85" t="s">
        <v>424</v>
      </c>
      <c r="N5" s="270">
        <f>I25</f>
        <v>18850</v>
      </c>
    </row>
    <row r="6" spans="1:14" ht="17.399999999999999" x14ac:dyDescent="0.35">
      <c r="B6" s="68" t="s">
        <v>265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274" t="s">
        <v>444</v>
      </c>
      <c r="N6" s="275">
        <f>N4-N5-N2</f>
        <v>-5596.0400000000373</v>
      </c>
    </row>
    <row r="7" spans="1:14" x14ac:dyDescent="0.3">
      <c r="B7" s="65" t="s">
        <v>30</v>
      </c>
      <c r="C7" s="94">
        <v>110000</v>
      </c>
      <c r="D7" s="86"/>
      <c r="E7"/>
      <c r="H7" s="123" t="s">
        <v>266</v>
      </c>
      <c r="I7" s="125">
        <v>193267.8</v>
      </c>
      <c r="J7" s="42">
        <v>46150</v>
      </c>
      <c r="K7" s="40"/>
      <c r="M7" s="2"/>
    </row>
    <row r="8" spans="1:14" x14ac:dyDescent="0.3">
      <c r="B8" s="70" t="s">
        <v>248</v>
      </c>
      <c r="C8" s="69"/>
      <c r="D8" s="98"/>
      <c r="E8"/>
      <c r="H8" s="123" t="s">
        <v>249</v>
      </c>
      <c r="I8" s="125"/>
      <c r="J8" s="42"/>
      <c r="K8" s="40"/>
      <c r="M8" s="2"/>
    </row>
    <row r="9" spans="1:14" x14ac:dyDescent="0.3">
      <c r="B9" s="65" t="s">
        <v>250</v>
      </c>
      <c r="C9" s="72"/>
      <c r="D9" s="86"/>
      <c r="E9"/>
      <c r="H9" s="123"/>
      <c r="I9" s="125"/>
      <c r="J9" s="42"/>
      <c r="K9" s="40"/>
      <c r="M9" s="2"/>
    </row>
    <row r="10" spans="1:14" x14ac:dyDescent="0.3">
      <c r="B10" s="70" t="s">
        <v>41</v>
      </c>
      <c r="C10" s="69">
        <f>I27</f>
        <v>21850</v>
      </c>
      <c r="D10" s="98"/>
      <c r="E10"/>
      <c r="H10" s="123"/>
      <c r="I10" s="125"/>
      <c r="J10" s="42"/>
      <c r="M10" s="2"/>
    </row>
    <row r="11" spans="1:14" x14ac:dyDescent="0.3">
      <c r="B11" s="65" t="s">
        <v>107</v>
      </c>
      <c r="C11" s="94">
        <f>(D7+D8+D10+C7+C8+C10+C9+D9)*0.042</f>
        <v>5537.7000000000007</v>
      </c>
      <c r="D11" s="86"/>
      <c r="E11"/>
      <c r="H11" s="123"/>
      <c r="I11" s="125"/>
      <c r="J11" s="42"/>
      <c r="M11" s="2"/>
    </row>
    <row r="12" spans="1:14" x14ac:dyDescent="0.3">
      <c r="B12" s="70" t="s">
        <v>2</v>
      </c>
      <c r="C12" s="69"/>
      <c r="D12" s="98"/>
      <c r="E12"/>
      <c r="H12" s="123" t="s">
        <v>237</v>
      </c>
      <c r="I12" s="125"/>
      <c r="M12" s="2"/>
    </row>
    <row r="13" spans="1:14" x14ac:dyDescent="0.3">
      <c r="B13" s="65" t="s">
        <v>258</v>
      </c>
      <c r="C13" s="72"/>
      <c r="D13" s="86"/>
      <c r="E13"/>
      <c r="H13" s="126"/>
      <c r="I13" s="127">
        <f>SUM(I7:I12)</f>
        <v>193267.8</v>
      </c>
      <c r="M13" s="2"/>
    </row>
    <row r="14" spans="1:14" x14ac:dyDescent="0.3">
      <c r="B14" s="70" t="s">
        <v>37</v>
      </c>
      <c r="C14" s="69"/>
      <c r="D14" s="98">
        <v>10000</v>
      </c>
      <c r="E14"/>
      <c r="H14" s="1" t="s">
        <v>99</v>
      </c>
      <c r="I14" s="32">
        <f>I13-C46</f>
        <v>13253.959999999963</v>
      </c>
      <c r="M14" s="2"/>
    </row>
    <row r="15" spans="1:14" x14ac:dyDescent="0.3">
      <c r="B15" s="65" t="s">
        <v>160</v>
      </c>
      <c r="C15" s="72"/>
      <c r="D15" s="79"/>
      <c r="E15"/>
      <c r="M15" s="2"/>
    </row>
    <row r="16" spans="1:14" x14ac:dyDescent="0.3">
      <c r="B16" s="70" t="s">
        <v>221</v>
      </c>
      <c r="C16" s="69"/>
      <c r="D16" s="98">
        <v>32480</v>
      </c>
      <c r="E16"/>
      <c r="M16" s="2"/>
    </row>
    <row r="17" spans="1:16" x14ac:dyDescent="0.3">
      <c r="B17" s="65" t="s">
        <v>7</v>
      </c>
      <c r="C17" s="72"/>
      <c r="D17" s="86"/>
      <c r="E17"/>
      <c r="F17" s="8"/>
      <c r="H17" s="129" t="s">
        <v>193</v>
      </c>
      <c r="I17" s="124"/>
      <c r="K17">
        <f>2800/6</f>
        <v>466.66666666666669</v>
      </c>
      <c r="M17" s="2"/>
    </row>
    <row r="18" spans="1:16" x14ac:dyDescent="0.3">
      <c r="B18" s="70" t="s">
        <v>214</v>
      </c>
      <c r="C18" s="69"/>
      <c r="D18" s="98"/>
      <c r="E18"/>
      <c r="H18" s="130" t="s">
        <v>59</v>
      </c>
      <c r="I18" s="125">
        <v>4000</v>
      </c>
      <c r="M18" s="2"/>
    </row>
    <row r="19" spans="1:16" x14ac:dyDescent="0.3">
      <c r="B19" s="65" t="s">
        <v>38</v>
      </c>
      <c r="C19" s="64"/>
      <c r="D19" s="86">
        <f>4476.15*2</f>
        <v>8952.2999999999993</v>
      </c>
      <c r="E19"/>
      <c r="H19" s="130" t="s">
        <v>61</v>
      </c>
      <c r="I19" s="125">
        <v>3500</v>
      </c>
      <c r="M19" s="2"/>
    </row>
    <row r="20" spans="1:16" x14ac:dyDescent="0.3">
      <c r="B20" s="70" t="s">
        <v>134</v>
      </c>
      <c r="C20" s="69"/>
      <c r="D20" s="98"/>
      <c r="E20"/>
      <c r="H20" s="130" t="s">
        <v>267</v>
      </c>
      <c r="I20" s="125">
        <v>500</v>
      </c>
      <c r="M20" s="2"/>
    </row>
    <row r="21" spans="1:16" x14ac:dyDescent="0.3">
      <c r="B21" s="65" t="s">
        <v>175</v>
      </c>
      <c r="C21" s="94">
        <v>4235.9399999999996</v>
      </c>
      <c r="D21" s="86"/>
      <c r="E21"/>
      <c r="F21" s="8"/>
      <c r="H21" s="123" t="s">
        <v>268</v>
      </c>
      <c r="I21" s="125">
        <v>900</v>
      </c>
    </row>
    <row r="22" spans="1:16" x14ac:dyDescent="0.3">
      <c r="B22" s="70" t="s">
        <v>254</v>
      </c>
      <c r="C22" s="69"/>
      <c r="D22" s="98"/>
      <c r="E22"/>
      <c r="H22" s="130" t="s">
        <v>62</v>
      </c>
      <c r="I22" s="125">
        <v>1950</v>
      </c>
    </row>
    <row r="23" spans="1:16" x14ac:dyDescent="0.3">
      <c r="B23" s="95" t="s">
        <v>188</v>
      </c>
      <c r="C23" s="72"/>
      <c r="D23" s="86"/>
      <c r="E23"/>
      <c r="H23" s="130" t="s">
        <v>19</v>
      </c>
      <c r="I23" s="125">
        <v>3000</v>
      </c>
      <c r="J23" s="1">
        <v>5000</v>
      </c>
      <c r="K23" t="s">
        <v>269</v>
      </c>
    </row>
    <row r="24" spans="1:16" x14ac:dyDescent="0.3">
      <c r="B24" s="70" t="s">
        <v>137</v>
      </c>
      <c r="C24" s="69"/>
      <c r="D24" s="98"/>
      <c r="E24"/>
      <c r="F24" s="1">
        <f>47000</f>
        <v>47000</v>
      </c>
      <c r="H24" s="130" t="s">
        <v>240</v>
      </c>
      <c r="I24" s="125">
        <v>5000</v>
      </c>
    </row>
    <row r="25" spans="1:16" x14ac:dyDescent="0.3">
      <c r="A25" s="1"/>
      <c r="B25" s="65" t="s">
        <v>219</v>
      </c>
      <c r="C25" s="72"/>
      <c r="D25" s="86"/>
      <c r="E25"/>
      <c r="F25" s="28"/>
      <c r="H25" s="134"/>
      <c r="I25" s="132">
        <f>SUM(I18:I24)</f>
        <v>18850</v>
      </c>
    </row>
    <row r="26" spans="1:16" s="1" customFormat="1" x14ac:dyDescent="0.3">
      <c r="B26" s="70" t="s">
        <v>114</v>
      </c>
      <c r="C26" s="69"/>
      <c r="D26" s="98"/>
      <c r="E26"/>
      <c r="G26" s="8"/>
      <c r="H26" t="s">
        <v>143</v>
      </c>
      <c r="I26" s="1">
        <f>I23</f>
        <v>3000</v>
      </c>
      <c r="K26"/>
      <c r="M26"/>
      <c r="P26"/>
    </row>
    <row r="27" spans="1:16" s="1" customFormat="1" x14ac:dyDescent="0.3">
      <c r="B27" s="65" t="s">
        <v>260</v>
      </c>
      <c r="C27" s="72"/>
      <c r="D27" s="86"/>
      <c r="E27"/>
      <c r="G27" s="8"/>
      <c r="H27"/>
      <c r="I27" s="3">
        <f>I25+I26</f>
        <v>21850</v>
      </c>
      <c r="K27"/>
      <c r="M27"/>
      <c r="P27"/>
    </row>
    <row r="28" spans="1:16" s="1" customFormat="1" x14ac:dyDescent="0.3">
      <c r="B28" s="70" t="s">
        <v>11</v>
      </c>
      <c r="C28" s="69"/>
      <c r="D28" s="98">
        <v>26453.74</v>
      </c>
      <c r="E28"/>
      <c r="F28" s="42">
        <v>46170</v>
      </c>
      <c r="G28" s="8"/>
      <c r="H28"/>
      <c r="K28"/>
      <c r="M28"/>
      <c r="P28"/>
    </row>
    <row r="29" spans="1:16" s="1" customFormat="1" x14ac:dyDescent="0.3">
      <c r="B29" s="65" t="s">
        <v>11</v>
      </c>
      <c r="C29" s="72"/>
      <c r="D29" s="79">
        <v>14592.86</v>
      </c>
      <c r="E29"/>
      <c r="F29" s="42">
        <v>46201</v>
      </c>
      <c r="G29" s="8"/>
      <c r="K29"/>
      <c r="M29"/>
      <c r="P29"/>
    </row>
    <row r="30" spans="1:16" s="1" customFormat="1" x14ac:dyDescent="0.3">
      <c r="B30" s="70" t="s">
        <v>223</v>
      </c>
      <c r="C30" s="69"/>
      <c r="D30" s="98"/>
      <c r="E30"/>
      <c r="G30" s="22"/>
      <c r="H30">
        <f>60/6</f>
        <v>10</v>
      </c>
      <c r="I30" s="3">
        <f>45000</f>
        <v>45000</v>
      </c>
      <c r="J30" s="1">
        <f>I30/H30</f>
        <v>4500</v>
      </c>
      <c r="K30"/>
      <c r="M30"/>
      <c r="P30"/>
    </row>
    <row r="31" spans="1:16" s="1" customFormat="1" x14ac:dyDescent="0.3">
      <c r="B31" s="65" t="s">
        <v>194</v>
      </c>
      <c r="C31" s="94">
        <v>15370</v>
      </c>
      <c r="D31" s="86"/>
      <c r="E31"/>
      <c r="G31" s="22"/>
      <c r="K31"/>
      <c r="M31"/>
      <c r="P31"/>
    </row>
    <row r="32" spans="1:16" s="1" customFormat="1" x14ac:dyDescent="0.3">
      <c r="B32" s="70" t="s">
        <v>143</v>
      </c>
      <c r="C32" s="69"/>
      <c r="D32" s="98"/>
      <c r="E32"/>
      <c r="F32" s="8"/>
      <c r="G32" s="22"/>
      <c r="K32"/>
      <c r="M32"/>
      <c r="P32"/>
    </row>
    <row r="33" spans="1:16" s="1" customFormat="1" x14ac:dyDescent="0.3">
      <c r="B33" s="65" t="s">
        <v>102</v>
      </c>
      <c r="C33" s="72"/>
      <c r="D33" s="79"/>
      <c r="E33"/>
      <c r="G33" s="22"/>
      <c r="K33"/>
      <c r="M33"/>
      <c r="P33"/>
    </row>
    <row r="34" spans="1:16" s="1" customFormat="1" x14ac:dyDescent="0.3">
      <c r="B34" s="70" t="s">
        <v>243</v>
      </c>
      <c r="C34" s="69"/>
      <c r="D34" s="98"/>
      <c r="E34"/>
      <c r="G34" s="22"/>
      <c r="K34"/>
      <c r="M34"/>
      <c r="P34"/>
    </row>
    <row r="35" spans="1:16" s="1" customFormat="1" x14ac:dyDescent="0.3">
      <c r="B35" s="65" t="s">
        <v>270</v>
      </c>
      <c r="C35" s="64"/>
      <c r="D35" s="109">
        <v>20000</v>
      </c>
      <c r="E35"/>
      <c r="G35" s="22"/>
      <c r="K35"/>
      <c r="M35"/>
      <c r="P35"/>
    </row>
    <row r="36" spans="1:16" s="1" customFormat="1" x14ac:dyDescent="0.3">
      <c r="B36" s="70" t="s">
        <v>271</v>
      </c>
      <c r="C36" s="69">
        <f>9135*2</f>
        <v>18270</v>
      </c>
      <c r="D36" s="98"/>
      <c r="E36"/>
      <c r="G36" s="22"/>
      <c r="K36"/>
      <c r="M36"/>
      <c r="P36"/>
    </row>
    <row r="37" spans="1:16" s="1" customFormat="1" x14ac:dyDescent="0.3">
      <c r="B37" s="96" t="s">
        <v>271</v>
      </c>
      <c r="C37" s="72"/>
      <c r="D37" s="86"/>
      <c r="E37"/>
      <c r="G37" s="22"/>
      <c r="K37"/>
      <c r="M37"/>
      <c r="P37"/>
    </row>
    <row r="38" spans="1:16" s="1" customFormat="1" x14ac:dyDescent="0.3">
      <c r="B38" s="70" t="s">
        <v>271</v>
      </c>
      <c r="C38" s="69"/>
      <c r="D38" s="98"/>
      <c r="E38"/>
      <c r="G38" s="22"/>
      <c r="K38"/>
      <c r="M38"/>
      <c r="P38"/>
    </row>
    <row r="39" spans="1:16" s="1" customFormat="1" x14ac:dyDescent="0.3">
      <c r="B39" s="65" t="s">
        <v>241</v>
      </c>
      <c r="C39" s="72"/>
      <c r="D39" s="86"/>
      <c r="E39"/>
      <c r="G39" s="22"/>
      <c r="H39" s="1">
        <f>6*60*4</f>
        <v>1440</v>
      </c>
      <c r="J39" s="218" t="s">
        <v>429</v>
      </c>
      <c r="K39"/>
      <c r="M39"/>
      <c r="P39"/>
    </row>
    <row r="40" spans="1:16" s="1" customFormat="1" x14ac:dyDescent="0.3">
      <c r="B40" s="70" t="s">
        <v>48</v>
      </c>
      <c r="C40" s="69"/>
      <c r="D40" s="98"/>
      <c r="E40"/>
      <c r="G40" s="22"/>
      <c r="J40" s="242" t="s">
        <v>272</v>
      </c>
      <c r="K40" s="204"/>
      <c r="M40"/>
      <c r="P40"/>
    </row>
    <row r="41" spans="1:16" x14ac:dyDescent="0.3">
      <c r="A41" s="1"/>
      <c r="B41" s="65" t="s">
        <v>242</v>
      </c>
      <c r="C41" s="72"/>
      <c r="D41" s="86"/>
      <c r="E41"/>
      <c r="G41" s="22"/>
      <c r="J41" s="208" t="s">
        <v>273</v>
      </c>
      <c r="K41" s="243">
        <v>1300</v>
      </c>
    </row>
    <row r="42" spans="1:16" x14ac:dyDescent="0.3">
      <c r="A42" s="1"/>
      <c r="B42" s="70" t="s">
        <v>132</v>
      </c>
      <c r="C42" s="69">
        <v>4750.2</v>
      </c>
      <c r="D42" s="98"/>
      <c r="E42"/>
      <c r="F42" s="28">
        <v>49247.8</v>
      </c>
      <c r="G42" s="22"/>
      <c r="J42" s="208" t="s">
        <v>274</v>
      </c>
      <c r="K42" s="243">
        <v>1000</v>
      </c>
    </row>
    <row r="43" spans="1:16" x14ac:dyDescent="0.3">
      <c r="A43" s="1"/>
      <c r="B43" s="65" t="s">
        <v>49</v>
      </c>
      <c r="C43" s="72"/>
      <c r="D43" s="86"/>
      <c r="E43"/>
      <c r="G43" s="22"/>
      <c r="J43" s="208" t="s">
        <v>275</v>
      </c>
      <c r="K43" s="243">
        <v>800</v>
      </c>
    </row>
    <row r="44" spans="1:16" x14ac:dyDescent="0.3">
      <c r="A44" s="1"/>
      <c r="B44" s="70"/>
      <c r="C44" s="69"/>
      <c r="D44" s="98"/>
      <c r="E44"/>
      <c r="F44" s="8"/>
      <c r="G44" s="22"/>
      <c r="H44" s="8"/>
      <c r="I44" s="8"/>
      <c r="J44" s="209" t="s">
        <v>276</v>
      </c>
      <c r="K44" s="244">
        <v>700</v>
      </c>
      <c r="L44" s="8"/>
      <c r="N44" s="8"/>
      <c r="O44" s="8"/>
    </row>
    <row r="45" spans="1:16" x14ac:dyDescent="0.3">
      <c r="A45" s="8"/>
      <c r="B45" s="72"/>
      <c r="C45" s="72"/>
      <c r="D45" s="86"/>
      <c r="E45"/>
      <c r="F45" s="15">
        <f>SUM(F7:F38)</f>
        <v>139371</v>
      </c>
      <c r="G45" s="22"/>
      <c r="K45" s="43"/>
    </row>
    <row r="46" spans="1:16" x14ac:dyDescent="0.3">
      <c r="B46" s="70"/>
      <c r="C46" s="71">
        <f>SUM(C7:C44)</f>
        <v>180013.84000000003</v>
      </c>
      <c r="D46" s="101">
        <f>SUM(D7:D45)</f>
        <v>112478.90000000001</v>
      </c>
      <c r="E46"/>
      <c r="K46" s="1"/>
    </row>
    <row r="47" spans="1:16" x14ac:dyDescent="0.3">
      <c r="B47" s="65"/>
      <c r="C47" s="88"/>
      <c r="D47" s="79"/>
      <c r="E47"/>
      <c r="K47" s="1"/>
    </row>
    <row r="48" spans="1:16" s="1" customFormat="1" x14ac:dyDescent="0.3">
      <c r="A48"/>
      <c r="B48" s="70"/>
      <c r="C48" s="91"/>
      <c r="D48" s="98"/>
      <c r="E48"/>
      <c r="G48" s="8"/>
      <c r="M48"/>
      <c r="P48"/>
    </row>
    <row r="49" spans="1:16" s="1" customFormat="1" x14ac:dyDescent="0.3">
      <c r="A49"/>
      <c r="B49" s="64"/>
      <c r="C49" s="64"/>
      <c r="D49" s="79"/>
      <c r="E49"/>
      <c r="G49" s="8"/>
      <c r="M49"/>
      <c r="P49"/>
    </row>
    <row r="50" spans="1:16" s="1" customFormat="1" x14ac:dyDescent="0.3">
      <c r="A50"/>
      <c r="B50" s="69"/>
      <c r="C50" s="69"/>
      <c r="D50" s="98">
        <f>D49*3</f>
        <v>0</v>
      </c>
      <c r="E50"/>
      <c r="G50" s="8"/>
      <c r="K50"/>
      <c r="M50"/>
      <c r="P50"/>
    </row>
    <row r="51" spans="1:16" s="1" customFormat="1" x14ac:dyDescent="0.3">
      <c r="B51" s="65"/>
      <c r="C51" s="72"/>
      <c r="D51" s="79">
        <f>997/1661</f>
        <v>0.60024081878386515</v>
      </c>
      <c r="E51"/>
      <c r="G51" s="8"/>
      <c r="K51"/>
      <c r="M51"/>
    </row>
    <row r="52" spans="1:16" s="1" customFormat="1" x14ac:dyDescent="0.3">
      <c r="A52"/>
      <c r="B52" s="239" t="s">
        <v>432</v>
      </c>
      <c r="C52" s="240"/>
      <c r="D52" s="245"/>
      <c r="E52"/>
      <c r="G52" s="8"/>
      <c r="K52"/>
      <c r="M52"/>
      <c r="P52"/>
    </row>
    <row r="53" spans="1:16" s="1" customFormat="1" x14ac:dyDescent="0.3">
      <c r="B53" s="93" t="s">
        <v>226</v>
      </c>
      <c r="C53" s="64" t="s">
        <v>227</v>
      </c>
      <c r="D53" s="64"/>
      <c r="E53"/>
      <c r="G53" s="8"/>
      <c r="K53"/>
      <c r="M53"/>
    </row>
    <row r="54" spans="1:16" s="1" customFormat="1" x14ac:dyDescent="0.3">
      <c r="B54" s="70" t="s">
        <v>228</v>
      </c>
      <c r="C54" s="69" t="s">
        <v>227</v>
      </c>
      <c r="D54" s="69"/>
      <c r="E54"/>
      <c r="G54" s="8"/>
      <c r="M54"/>
    </row>
    <row r="55" spans="1:16" s="1" customFormat="1" x14ac:dyDescent="0.3">
      <c r="B55" s="65" t="s">
        <v>229</v>
      </c>
      <c r="C55" s="64" t="s">
        <v>227</v>
      </c>
      <c r="D55" s="64">
        <f>25*50</f>
        <v>1250</v>
      </c>
      <c r="E55"/>
      <c r="G55" s="8"/>
      <c r="H55" s="218" t="s">
        <v>429</v>
      </c>
      <c r="M55"/>
    </row>
    <row r="56" spans="1:16" x14ac:dyDescent="0.3">
      <c r="B56" s="70" t="s">
        <v>230</v>
      </c>
      <c r="C56" s="69" t="s">
        <v>227</v>
      </c>
      <c r="D56" s="69">
        <f>D55</f>
        <v>1250</v>
      </c>
      <c r="E56"/>
      <c r="H56" s="186"/>
      <c r="I56" s="217">
        <v>96000</v>
      </c>
      <c r="J56" s="217"/>
      <c r="K56" s="204"/>
    </row>
    <row r="57" spans="1:16" x14ac:dyDescent="0.3">
      <c r="B57" s="65" t="s">
        <v>231</v>
      </c>
      <c r="C57" s="64" t="s">
        <v>232</v>
      </c>
      <c r="D57" s="64">
        <f>D55*5</f>
        <v>6250</v>
      </c>
      <c r="E57"/>
      <c r="H57" s="208"/>
      <c r="I57" s="121">
        <v>30000</v>
      </c>
      <c r="J57" s="121"/>
      <c r="K57" s="196"/>
    </row>
    <row r="58" spans="1:16" s="1" customFormat="1" x14ac:dyDescent="0.3">
      <c r="A58"/>
      <c r="B58" s="195" t="s">
        <v>233</v>
      </c>
      <c r="C58" s="191" t="s">
        <v>232</v>
      </c>
      <c r="D58" s="197"/>
      <c r="E58"/>
      <c r="G58" s="8"/>
      <c r="H58" s="208" t="s">
        <v>245</v>
      </c>
      <c r="I58" s="50">
        <f>-85800*1.04</f>
        <v>-89232</v>
      </c>
      <c r="J58" s="121">
        <v>80000</v>
      </c>
      <c r="K58" s="196">
        <f>J58*1.045</f>
        <v>83600</v>
      </c>
      <c r="M58"/>
      <c r="P58"/>
    </row>
    <row r="59" spans="1:16" s="1" customFormat="1" x14ac:dyDescent="0.3">
      <c r="A59"/>
      <c r="B59"/>
      <c r="E59"/>
      <c r="G59" s="8"/>
      <c r="H59" s="208" t="s">
        <v>1</v>
      </c>
      <c r="I59" s="50">
        <v>-20000</v>
      </c>
      <c r="J59" s="121"/>
      <c r="K59" s="196">
        <v>20000</v>
      </c>
      <c r="M59"/>
      <c r="P59"/>
    </row>
    <row r="60" spans="1:16" s="1" customFormat="1" x14ac:dyDescent="0.3">
      <c r="A60"/>
      <c r="B60"/>
      <c r="E60"/>
      <c r="G60" s="8"/>
      <c r="H60" s="208" t="s">
        <v>246</v>
      </c>
      <c r="I60" s="50">
        <f>-16.9*1.16*500</f>
        <v>-9801.9999999999982</v>
      </c>
      <c r="J60" s="121"/>
      <c r="K60" s="196">
        <v>10000</v>
      </c>
      <c r="M60"/>
      <c r="P60"/>
    </row>
    <row r="61" spans="1:16" s="1" customFormat="1" x14ac:dyDescent="0.3">
      <c r="A61"/>
      <c r="B61"/>
      <c r="E61"/>
      <c r="G61" s="8"/>
      <c r="H61" s="208"/>
      <c r="I61" s="50">
        <f>SUM(I56:I60)</f>
        <v>6966.0000000000018</v>
      </c>
      <c r="J61" s="121"/>
      <c r="K61" s="196">
        <f>SUM(K58:K60)</f>
        <v>113600</v>
      </c>
      <c r="M61"/>
      <c r="P61"/>
    </row>
    <row r="62" spans="1:16" s="1" customFormat="1" x14ac:dyDescent="0.3">
      <c r="A62"/>
      <c r="B62"/>
      <c r="E62"/>
      <c r="G62" s="8"/>
      <c r="H62" s="209"/>
      <c r="I62" s="191"/>
      <c r="J62" s="191"/>
      <c r="K62" s="197">
        <f>I56+I57-K61</f>
        <v>12400</v>
      </c>
      <c r="M62"/>
      <c r="P62"/>
    </row>
    <row r="63" spans="1:16" s="1" customFormat="1" x14ac:dyDescent="0.3">
      <c r="A63"/>
      <c r="B63"/>
      <c r="E63" s="8"/>
      <c r="G63" s="8"/>
      <c r="M63"/>
      <c r="P63"/>
    </row>
  </sheetData>
  <sortState xmlns:xlrd2="http://schemas.microsoft.com/office/spreadsheetml/2017/richdata2" ref="B13:F43">
    <sortCondition ref="B13:B43"/>
  </sortState>
  <mergeCells count="1">
    <mergeCell ref="M1:N1"/>
  </mergeCells>
  <conditionalFormatting sqref="N6">
    <cfRule type="cellIs" dxfId="7" priority="1" operator="lessThan">
      <formula>0</formula>
    </cfRule>
  </conditionalFormatting>
  <conditionalFormatting sqref="N6">
    <cfRule type="cellIs" dxfId="6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AC2-5E1C-4622-B494-8E0639B4032E}">
  <dimension ref="A1:O63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2.44140625" style="1" bestFit="1" customWidth="1"/>
    <col min="6" max="6" width="4.6640625" style="8" customWidth="1"/>
    <col min="7" max="7" width="21.44140625" style="1" bestFit="1" customWidth="1"/>
    <col min="8" max="8" width="14.6640625" style="1" customWidth="1"/>
    <col min="9" max="9" width="18.33203125" style="1" customWidth="1"/>
    <col min="10" max="10" width="18.44140625" customWidth="1"/>
    <col min="11" max="11" width="13.33203125" style="1" customWidth="1"/>
    <col min="12" max="12" width="26.44140625" customWidth="1"/>
    <col min="13" max="13" width="22.21875" style="1" customWidth="1"/>
    <col min="14" max="14" width="11.5546875" style="1"/>
    <col min="18" max="18" width="22.21875" customWidth="1"/>
  </cols>
  <sheetData>
    <row r="1" spans="1:14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K1"/>
      <c r="M1" s="269" t="s">
        <v>450</v>
      </c>
      <c r="N1" s="269"/>
    </row>
    <row r="2" spans="1:14" ht="15" customHeight="1" x14ac:dyDescent="0.3">
      <c r="A2" s="57"/>
      <c r="B2" s="57"/>
      <c r="C2" s="57"/>
      <c r="D2" s="57"/>
      <c r="E2" s="57"/>
      <c r="F2" s="57"/>
      <c r="G2"/>
      <c r="H2"/>
      <c r="I2"/>
      <c r="K2"/>
      <c r="M2" s="85" t="s">
        <v>425</v>
      </c>
      <c r="N2" s="270">
        <f>C49</f>
        <v>365775.31800000003</v>
      </c>
    </row>
    <row r="3" spans="1:14" ht="15" customHeight="1" x14ac:dyDescent="0.3">
      <c r="A3" s="57"/>
      <c r="B3" s="57"/>
      <c r="C3" s="57"/>
      <c r="D3" s="57"/>
      <c r="E3" s="57"/>
      <c r="F3" s="57"/>
      <c r="G3"/>
      <c r="H3"/>
      <c r="I3"/>
      <c r="K3"/>
      <c r="M3" s="85" t="s">
        <v>269</v>
      </c>
      <c r="N3" s="270">
        <f>D49</f>
        <v>311948.59000000003</v>
      </c>
    </row>
    <row r="4" spans="1:14" ht="15" customHeight="1" x14ac:dyDescent="0.3">
      <c r="A4" s="57"/>
      <c r="B4" s="57"/>
      <c r="C4" s="57"/>
      <c r="D4" s="57"/>
      <c r="E4" s="57"/>
      <c r="F4" s="57"/>
      <c r="G4"/>
      <c r="H4"/>
      <c r="I4"/>
      <c r="K4"/>
      <c r="M4" s="85" t="s">
        <v>423</v>
      </c>
      <c r="N4" s="270">
        <f>H13</f>
        <v>353464</v>
      </c>
    </row>
    <row r="5" spans="1:14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K5"/>
      <c r="M5" s="85" t="s">
        <v>424</v>
      </c>
      <c r="N5" s="270">
        <f>H26</f>
        <v>19450</v>
      </c>
    </row>
    <row r="6" spans="1:14" ht="17.399999999999999" x14ac:dyDescent="0.35">
      <c r="B6" s="68" t="s">
        <v>277</v>
      </c>
      <c r="C6" s="82" t="s">
        <v>90</v>
      </c>
      <c r="D6" s="103" t="s">
        <v>91</v>
      </c>
      <c r="E6"/>
      <c r="G6" s="122" t="s">
        <v>92</v>
      </c>
      <c r="H6" s="124"/>
      <c r="J6" s="3"/>
      <c r="L6" s="1"/>
      <c r="M6" s="274" t="s">
        <v>444</v>
      </c>
      <c r="N6" s="275">
        <f>N4-N5-N2</f>
        <v>-31761.318000000028</v>
      </c>
    </row>
    <row r="7" spans="1:14" x14ac:dyDescent="0.3">
      <c r="B7" s="65" t="s">
        <v>30</v>
      </c>
      <c r="C7" s="94">
        <f>(63000-9000-5000-15000-4800-1000-7000)+88800</f>
        <v>110000</v>
      </c>
      <c r="D7" s="86"/>
      <c r="E7"/>
      <c r="G7" s="123" t="s">
        <v>278</v>
      </c>
      <c r="H7" s="125">
        <v>199760</v>
      </c>
      <c r="I7" s="42">
        <v>46157</v>
      </c>
      <c r="J7" s="40"/>
      <c r="L7" s="2"/>
    </row>
    <row r="8" spans="1:14" x14ac:dyDescent="0.3">
      <c r="B8" s="70" t="s">
        <v>248</v>
      </c>
      <c r="C8" s="69">
        <v>9000</v>
      </c>
      <c r="D8" s="98"/>
      <c r="E8"/>
      <c r="G8" s="123" t="s">
        <v>249</v>
      </c>
      <c r="H8" s="125">
        <v>128704</v>
      </c>
      <c r="I8" s="42">
        <v>46155</v>
      </c>
      <c r="J8" s="40"/>
      <c r="L8" s="2"/>
    </row>
    <row r="9" spans="1:14" x14ac:dyDescent="0.3">
      <c r="B9" s="65" t="s">
        <v>250</v>
      </c>
      <c r="C9" s="72"/>
      <c r="D9" s="86"/>
      <c r="E9"/>
      <c r="G9" s="123" t="s">
        <v>279</v>
      </c>
      <c r="H9" s="125">
        <v>25000</v>
      </c>
      <c r="I9" s="42"/>
      <c r="J9" s="40"/>
      <c r="L9" s="2"/>
    </row>
    <row r="10" spans="1:14" x14ac:dyDescent="0.3">
      <c r="B10" s="70" t="s">
        <v>41</v>
      </c>
      <c r="C10" s="69">
        <f>H28</f>
        <v>24450</v>
      </c>
      <c r="D10" s="98"/>
      <c r="E10"/>
      <c r="G10" s="123"/>
      <c r="H10" s="125"/>
      <c r="I10" s="42"/>
      <c r="L10" s="2"/>
    </row>
    <row r="11" spans="1:14" x14ac:dyDescent="0.3">
      <c r="B11" s="65" t="s">
        <v>107</v>
      </c>
      <c r="C11" s="94">
        <f>(H8+H7)*0.042</f>
        <v>13795.488000000001</v>
      </c>
      <c r="D11" s="86"/>
      <c r="E11"/>
      <c r="G11" s="123"/>
      <c r="H11" s="125"/>
      <c r="I11" s="42"/>
      <c r="L11" s="2"/>
    </row>
    <row r="12" spans="1:14" x14ac:dyDescent="0.3">
      <c r="B12" s="70" t="s">
        <v>2</v>
      </c>
      <c r="C12" s="69">
        <v>7000</v>
      </c>
      <c r="D12" s="98"/>
      <c r="E12"/>
      <c r="G12" s="123" t="s">
        <v>237</v>
      </c>
      <c r="H12" s="125"/>
      <c r="L12" s="2"/>
    </row>
    <row r="13" spans="1:14" x14ac:dyDescent="0.3">
      <c r="B13" s="65" t="s">
        <v>2</v>
      </c>
      <c r="C13" s="94">
        <v>61302.86</v>
      </c>
      <c r="D13" s="86"/>
      <c r="E13"/>
      <c r="G13" s="126"/>
      <c r="H13" s="127">
        <f>SUM(H7:H12)</f>
        <v>353464</v>
      </c>
      <c r="L13" s="2"/>
    </row>
    <row r="14" spans="1:14" x14ac:dyDescent="0.3">
      <c r="B14" s="70" t="s">
        <v>258</v>
      </c>
      <c r="C14" s="69"/>
      <c r="D14" s="98"/>
      <c r="E14"/>
      <c r="G14" s="1" t="s">
        <v>99</v>
      </c>
      <c r="H14" s="32">
        <f>H13-C49</f>
        <v>-12311.318000000028</v>
      </c>
      <c r="L14" s="2"/>
    </row>
    <row r="15" spans="1:14" x14ac:dyDescent="0.3">
      <c r="B15" s="83" t="s">
        <v>37</v>
      </c>
      <c r="C15" s="94">
        <v>10000</v>
      </c>
      <c r="D15" s="110">
        <v>10000</v>
      </c>
      <c r="E15"/>
      <c r="L15" s="2"/>
    </row>
    <row r="16" spans="1:14" x14ac:dyDescent="0.3">
      <c r="B16" s="70" t="s">
        <v>160</v>
      </c>
      <c r="C16" s="69"/>
      <c r="D16" s="98"/>
      <c r="E16"/>
      <c r="L16" s="2"/>
    </row>
    <row r="17" spans="1:15" x14ac:dyDescent="0.3">
      <c r="B17" s="65" t="s">
        <v>221</v>
      </c>
      <c r="C17" s="72"/>
      <c r="D17" s="86">
        <v>32480</v>
      </c>
      <c r="E17"/>
      <c r="G17" s="129" t="s">
        <v>193</v>
      </c>
      <c r="H17" s="124"/>
      <c r="L17" s="2"/>
    </row>
    <row r="18" spans="1:15" x14ac:dyDescent="0.3">
      <c r="B18" s="70" t="s">
        <v>7</v>
      </c>
      <c r="C18" s="69"/>
      <c r="D18" s="98">
        <f>3886</f>
        <v>3886</v>
      </c>
      <c r="E18"/>
      <c r="G18" s="130" t="s">
        <v>59</v>
      </c>
      <c r="H18" s="125">
        <v>4000</v>
      </c>
      <c r="L18" s="2"/>
    </row>
    <row r="19" spans="1:15" x14ac:dyDescent="0.3">
      <c r="B19" s="65" t="s">
        <v>214</v>
      </c>
      <c r="C19" s="72"/>
      <c r="D19" s="108">
        <v>6050</v>
      </c>
      <c r="E19"/>
      <c r="G19" s="130" t="s">
        <v>61</v>
      </c>
      <c r="H19" s="125">
        <v>3500</v>
      </c>
      <c r="L19" s="2"/>
    </row>
    <row r="20" spans="1:15" x14ac:dyDescent="0.3">
      <c r="B20" s="70" t="s">
        <v>280</v>
      </c>
      <c r="C20" s="69"/>
      <c r="D20" s="98">
        <v>3596.65</v>
      </c>
      <c r="E20"/>
      <c r="G20" s="130" t="s">
        <v>267</v>
      </c>
      <c r="H20" s="125">
        <f>3500-400</f>
        <v>3100</v>
      </c>
      <c r="L20" s="2"/>
    </row>
    <row r="21" spans="1:15" x14ac:dyDescent="0.3">
      <c r="B21" s="65" t="s">
        <v>38</v>
      </c>
      <c r="C21" s="94">
        <f>4476.15+4476.15</f>
        <v>8952.2999999999993</v>
      </c>
      <c r="D21" s="86"/>
      <c r="E21"/>
      <c r="G21" s="123" t="s">
        <v>281</v>
      </c>
      <c r="H21" s="125">
        <v>900</v>
      </c>
    </row>
    <row r="22" spans="1:15" x14ac:dyDescent="0.3">
      <c r="B22" s="70" t="s">
        <v>134</v>
      </c>
      <c r="C22" s="69"/>
      <c r="D22" s="98">
        <v>2033</v>
      </c>
      <c r="E22"/>
      <c r="G22" s="130" t="s">
        <v>62</v>
      </c>
      <c r="H22" s="125">
        <v>1950</v>
      </c>
    </row>
    <row r="23" spans="1:15" x14ac:dyDescent="0.3">
      <c r="B23" s="65" t="s">
        <v>175</v>
      </c>
      <c r="C23" s="72"/>
      <c r="D23" s="108">
        <v>8129.69</v>
      </c>
      <c r="E23"/>
      <c r="G23" s="130" t="s">
        <v>19</v>
      </c>
      <c r="H23" s="125"/>
      <c r="I23" s="1">
        <v>5000</v>
      </c>
    </row>
    <row r="24" spans="1:15" x14ac:dyDescent="0.3">
      <c r="B24" s="70" t="s">
        <v>254</v>
      </c>
      <c r="C24" s="69">
        <v>6666.98</v>
      </c>
      <c r="D24" s="98"/>
      <c r="E24"/>
      <c r="G24" s="130" t="s">
        <v>240</v>
      </c>
      <c r="H24" s="136">
        <v>5000</v>
      </c>
    </row>
    <row r="25" spans="1:15" x14ac:dyDescent="0.3">
      <c r="B25" s="95" t="s">
        <v>188</v>
      </c>
      <c r="C25" s="72"/>
      <c r="D25" s="86"/>
      <c r="E25"/>
      <c r="G25" s="123" t="s">
        <v>282</v>
      </c>
      <c r="H25" s="125">
        <v>1000</v>
      </c>
    </row>
    <row r="26" spans="1:15" s="1" customFormat="1" x14ac:dyDescent="0.3">
      <c r="A26"/>
      <c r="B26" s="70" t="s">
        <v>283</v>
      </c>
      <c r="C26" s="69">
        <v>7508.23</v>
      </c>
      <c r="D26" s="98"/>
      <c r="E26"/>
      <c r="F26" s="8"/>
      <c r="G26" s="134"/>
      <c r="H26" s="132">
        <f>SUM(H18:H25)</f>
        <v>19450</v>
      </c>
      <c r="J26"/>
      <c r="L26"/>
      <c r="O26"/>
    </row>
    <row r="27" spans="1:15" s="1" customFormat="1" x14ac:dyDescent="0.3">
      <c r="A27"/>
      <c r="B27" s="65" t="s">
        <v>137</v>
      </c>
      <c r="C27" s="72"/>
      <c r="D27" s="86">
        <v>47000</v>
      </c>
      <c r="E27"/>
      <c r="F27" s="8"/>
      <c r="G27" t="s">
        <v>143</v>
      </c>
      <c r="H27" s="1">
        <f>H24</f>
        <v>5000</v>
      </c>
      <c r="J27"/>
      <c r="L27"/>
      <c r="O27"/>
    </row>
    <row r="28" spans="1:15" s="1" customFormat="1" x14ac:dyDescent="0.3">
      <c r="B28" s="70" t="s">
        <v>219</v>
      </c>
      <c r="C28" s="69"/>
      <c r="D28" s="98"/>
      <c r="E28"/>
      <c r="F28" s="8"/>
      <c r="G28"/>
      <c r="H28" s="3">
        <f>H26+H27</f>
        <v>24450</v>
      </c>
      <c r="I28" s="1">
        <f>SUM(I18:I27)</f>
        <v>5000</v>
      </c>
      <c r="J28" s="40">
        <f>SUM(H28:I28)</f>
        <v>29450</v>
      </c>
      <c r="L28"/>
      <c r="O28"/>
    </row>
    <row r="29" spans="1:15" s="1" customFormat="1" x14ac:dyDescent="0.3">
      <c r="B29" s="65" t="s">
        <v>114</v>
      </c>
      <c r="C29" s="72"/>
      <c r="D29" s="86"/>
      <c r="E29"/>
      <c r="F29" s="8"/>
      <c r="J29"/>
      <c r="L29"/>
      <c r="O29"/>
    </row>
    <row r="30" spans="1:15" s="1" customFormat="1" x14ac:dyDescent="0.3">
      <c r="B30" s="70" t="s">
        <v>260</v>
      </c>
      <c r="C30" s="69"/>
      <c r="D30" s="98"/>
      <c r="E30"/>
      <c r="F30" s="8"/>
      <c r="G30"/>
      <c r="H30" s="3"/>
      <c r="J30"/>
      <c r="L30"/>
      <c r="O30"/>
    </row>
    <row r="31" spans="1:15" s="1" customFormat="1" x14ac:dyDescent="0.3">
      <c r="B31" s="65" t="s">
        <v>11</v>
      </c>
      <c r="C31" s="72"/>
      <c r="D31" s="79">
        <v>26453.74</v>
      </c>
      <c r="E31"/>
      <c r="F31" s="8"/>
      <c r="I31" s="1">
        <v>12800</v>
      </c>
      <c r="J31" s="17" t="s">
        <v>284</v>
      </c>
      <c r="K31" s="1">
        <f>120000</f>
        <v>120000</v>
      </c>
      <c r="L31"/>
      <c r="O31"/>
    </row>
    <row r="32" spans="1:15" s="1" customFormat="1" x14ac:dyDescent="0.3">
      <c r="B32" s="70" t="s">
        <v>11</v>
      </c>
      <c r="C32" s="69"/>
      <c r="D32" s="98">
        <v>14592.86</v>
      </c>
      <c r="E32"/>
      <c r="F32" s="8"/>
      <c r="H32" s="1" t="s">
        <v>285</v>
      </c>
      <c r="I32" s="5">
        <v>12800</v>
      </c>
      <c r="J32" s="17" t="s">
        <v>284</v>
      </c>
      <c r="K32" s="40">
        <f>H26+I28+H27</f>
        <v>29450</v>
      </c>
      <c r="L32"/>
      <c r="O32"/>
    </row>
    <row r="33" spans="1:15" s="1" customFormat="1" x14ac:dyDescent="0.3">
      <c r="B33" s="65" t="s">
        <v>223</v>
      </c>
      <c r="C33" s="94">
        <v>14685.06</v>
      </c>
      <c r="D33" s="86"/>
      <c r="E33"/>
      <c r="F33" s="22"/>
      <c r="H33" s="1" t="s">
        <v>286</v>
      </c>
      <c r="I33" s="5">
        <v>50000</v>
      </c>
      <c r="K33" s="6">
        <f>SUM(K31:K32)</f>
        <v>149450</v>
      </c>
      <c r="L33"/>
      <c r="O33"/>
    </row>
    <row r="34" spans="1:15" s="1" customFormat="1" x14ac:dyDescent="0.3">
      <c r="B34" s="70" t="s">
        <v>194</v>
      </c>
      <c r="C34" s="69"/>
      <c r="D34" s="98">
        <v>30740</v>
      </c>
      <c r="E34"/>
      <c r="F34" s="22"/>
      <c r="H34" s="1" t="s">
        <v>31</v>
      </c>
      <c r="I34" s="5">
        <v>18500</v>
      </c>
      <c r="K34"/>
      <c r="L34"/>
      <c r="O34"/>
    </row>
    <row r="35" spans="1:15" s="1" customFormat="1" x14ac:dyDescent="0.3">
      <c r="B35" s="65" t="s">
        <v>143</v>
      </c>
      <c r="C35" s="94">
        <f>5000+4800</f>
        <v>9800</v>
      </c>
      <c r="D35" s="86"/>
      <c r="E35"/>
      <c r="F35" s="22"/>
      <c r="H35" s="1" t="s">
        <v>287</v>
      </c>
      <c r="I35" s="5">
        <v>30000</v>
      </c>
      <c r="K35"/>
      <c r="L35"/>
      <c r="O35"/>
    </row>
    <row r="36" spans="1:15" s="1" customFormat="1" x14ac:dyDescent="0.3">
      <c r="B36" s="70" t="s">
        <v>102</v>
      </c>
      <c r="C36" s="69"/>
      <c r="D36" s="98"/>
      <c r="E36"/>
      <c r="F36" s="22"/>
      <c r="H36" s="1" t="s">
        <v>19</v>
      </c>
      <c r="I36" s="10">
        <f>I23</f>
        <v>5000</v>
      </c>
      <c r="K36"/>
      <c r="L36"/>
      <c r="O36"/>
    </row>
    <row r="37" spans="1:15" s="1" customFormat="1" x14ac:dyDescent="0.3">
      <c r="B37" s="65" t="s">
        <v>243</v>
      </c>
      <c r="C37" s="72"/>
      <c r="D37" s="79"/>
      <c r="E37"/>
      <c r="F37" s="22"/>
      <c r="H37" s="1" t="s">
        <v>61</v>
      </c>
      <c r="I37" s="10">
        <v>19450</v>
      </c>
      <c r="J37" s="17" t="s">
        <v>284</v>
      </c>
      <c r="K37"/>
      <c r="L37"/>
      <c r="O37"/>
    </row>
    <row r="38" spans="1:15" s="1" customFormat="1" x14ac:dyDescent="0.3">
      <c r="B38" s="70" t="s">
        <v>270</v>
      </c>
      <c r="C38" s="69"/>
      <c r="D38" s="98">
        <v>77738.850000000006</v>
      </c>
      <c r="E38"/>
      <c r="F38" s="22"/>
      <c r="H38" s="1" t="s">
        <v>288</v>
      </c>
      <c r="I38" s="1">
        <v>12800</v>
      </c>
      <c r="J38" s="17" t="s">
        <v>284</v>
      </c>
      <c r="K38"/>
      <c r="L38"/>
      <c r="O38"/>
    </row>
    <row r="39" spans="1:15" s="1" customFormat="1" x14ac:dyDescent="0.3">
      <c r="B39" s="96" t="s">
        <v>271</v>
      </c>
      <c r="C39" s="94">
        <v>56045.4</v>
      </c>
      <c r="D39" s="79"/>
      <c r="E39"/>
      <c r="F39" s="22"/>
      <c r="I39" s="3">
        <f>SUM(I32:I38)</f>
        <v>148550</v>
      </c>
      <c r="K39" s="40">
        <f>I39-K33</f>
        <v>-900</v>
      </c>
      <c r="L39"/>
      <c r="O39"/>
    </row>
    <row r="40" spans="1:15" s="1" customFormat="1" x14ac:dyDescent="0.3">
      <c r="B40" s="70" t="s">
        <v>271</v>
      </c>
      <c r="C40" s="69">
        <v>9802</v>
      </c>
      <c r="D40" s="98"/>
      <c r="E40"/>
      <c r="F40" s="22"/>
      <c r="I40" s="218" t="s">
        <v>429</v>
      </c>
      <c r="L40"/>
      <c r="O40"/>
    </row>
    <row r="41" spans="1:15" x14ac:dyDescent="0.3">
      <c r="A41" s="1"/>
      <c r="B41" s="96" t="s">
        <v>271</v>
      </c>
      <c r="C41" s="72"/>
      <c r="D41" s="79"/>
      <c r="E41"/>
      <c r="F41" s="22"/>
      <c r="I41" s="242" t="s">
        <v>272</v>
      </c>
      <c r="J41" s="204"/>
    </row>
    <row r="42" spans="1:15" x14ac:dyDescent="0.3">
      <c r="A42" s="1"/>
      <c r="B42" s="70" t="s">
        <v>241</v>
      </c>
      <c r="C42" s="69"/>
      <c r="D42" s="98"/>
      <c r="E42"/>
      <c r="F42" s="22"/>
      <c r="I42" s="208" t="s">
        <v>273</v>
      </c>
      <c r="J42" s="243">
        <v>1300</v>
      </c>
    </row>
    <row r="43" spans="1:15" x14ac:dyDescent="0.3">
      <c r="A43" s="1"/>
      <c r="B43" s="65" t="s">
        <v>48</v>
      </c>
      <c r="C43" s="72"/>
      <c r="D43" s="86"/>
      <c r="E43"/>
      <c r="F43" s="22"/>
      <c r="I43" s="208" t="s">
        <v>274</v>
      </c>
      <c r="J43" s="243">
        <v>1000</v>
      </c>
    </row>
    <row r="44" spans="1:15" x14ac:dyDescent="0.3">
      <c r="A44" s="1"/>
      <c r="B44" s="70" t="s">
        <v>242</v>
      </c>
      <c r="C44" s="69"/>
      <c r="D44" s="98"/>
      <c r="E44"/>
      <c r="F44" s="22"/>
      <c r="G44" s="8"/>
      <c r="I44" s="208" t="s">
        <v>275</v>
      </c>
      <c r="J44" s="243">
        <v>800</v>
      </c>
      <c r="M44" s="8"/>
      <c r="N44" s="8"/>
    </row>
    <row r="45" spans="1:15" x14ac:dyDescent="0.3">
      <c r="A45" s="1"/>
      <c r="B45" s="65" t="s">
        <v>132</v>
      </c>
      <c r="C45" s="94">
        <v>1292</v>
      </c>
      <c r="D45" s="86"/>
      <c r="E45"/>
      <c r="F45" s="22"/>
      <c r="H45" s="8"/>
      <c r="I45" s="209" t="s">
        <v>276</v>
      </c>
      <c r="J45" s="244">
        <v>700</v>
      </c>
      <c r="K45" s="8"/>
    </row>
    <row r="46" spans="1:15" x14ac:dyDescent="0.3">
      <c r="A46" s="1"/>
      <c r="B46" s="70" t="s">
        <v>49</v>
      </c>
      <c r="C46" s="69"/>
      <c r="D46" s="98">
        <v>49247.8</v>
      </c>
      <c r="E46"/>
      <c r="F46" s="22"/>
      <c r="J46" s="1"/>
    </row>
    <row r="47" spans="1:15" x14ac:dyDescent="0.3">
      <c r="A47" s="1"/>
      <c r="B47" s="65" t="s">
        <v>289</v>
      </c>
      <c r="C47" s="94">
        <f>1000+500+964+2210</f>
        <v>4674</v>
      </c>
      <c r="D47" s="86"/>
      <c r="E47"/>
      <c r="F47" s="22"/>
      <c r="J47" s="1"/>
    </row>
    <row r="48" spans="1:15" s="1" customFormat="1" x14ac:dyDescent="0.3">
      <c r="A48" s="8"/>
      <c r="B48" s="69" t="s">
        <v>290</v>
      </c>
      <c r="C48" s="69">
        <v>10801</v>
      </c>
      <c r="D48" s="98"/>
      <c r="E48"/>
      <c r="F48" s="22"/>
      <c r="L48"/>
      <c r="O48"/>
    </row>
    <row r="49" spans="1:15" s="1" customFormat="1" x14ac:dyDescent="0.3">
      <c r="A49"/>
      <c r="B49" s="65"/>
      <c r="C49" s="67">
        <f>SUM(C7:C48)</f>
        <v>365775.31800000003</v>
      </c>
      <c r="D49" s="105">
        <f>SUM(D7:D48)</f>
        <v>311948.59000000003</v>
      </c>
      <c r="E49"/>
      <c r="F49" s="8"/>
      <c r="L49"/>
      <c r="O49"/>
    </row>
    <row r="50" spans="1:15" s="1" customFormat="1" x14ac:dyDescent="0.3">
      <c r="A50"/>
      <c r="B50" s="70"/>
      <c r="C50" s="91"/>
      <c r="D50" s="98"/>
      <c r="E50"/>
      <c r="F50" s="8"/>
      <c r="J50"/>
      <c r="L50"/>
      <c r="O50"/>
    </row>
    <row r="51" spans="1:15" s="1" customFormat="1" x14ac:dyDescent="0.3">
      <c r="A51"/>
      <c r="B51" s="65"/>
      <c r="C51" s="88"/>
      <c r="D51" s="79"/>
      <c r="E51"/>
      <c r="F51" s="8"/>
      <c r="J51"/>
      <c r="L51"/>
    </row>
    <row r="52" spans="1:15" s="1" customFormat="1" x14ac:dyDescent="0.3">
      <c r="A52"/>
      <c r="B52" s="69"/>
      <c r="C52" s="69"/>
      <c r="D52" s="98"/>
      <c r="E52"/>
      <c r="F52" s="8"/>
      <c r="J52"/>
      <c r="L52"/>
      <c r="O52"/>
    </row>
    <row r="53" spans="1:15" s="1" customFormat="1" x14ac:dyDescent="0.3">
      <c r="A53"/>
      <c r="B53" s="64"/>
      <c r="C53" s="72"/>
      <c r="D53" s="79">
        <f>D52*3</f>
        <v>0</v>
      </c>
      <c r="E53"/>
      <c r="F53" s="8"/>
      <c r="J53"/>
      <c r="L53"/>
    </row>
    <row r="54" spans="1:15" s="1" customFormat="1" x14ac:dyDescent="0.3">
      <c r="B54" s="70"/>
      <c r="C54" s="69"/>
      <c r="D54" s="98">
        <f>997/1661</f>
        <v>0.60024081878386515</v>
      </c>
      <c r="E54"/>
      <c r="F54" s="8"/>
      <c r="L54"/>
    </row>
    <row r="55" spans="1:15" s="1" customFormat="1" x14ac:dyDescent="0.3">
      <c r="A55"/>
      <c r="B55" s="239" t="s">
        <v>432</v>
      </c>
      <c r="C55" s="238"/>
      <c r="D55" s="186"/>
      <c r="E55"/>
      <c r="F55" s="8"/>
      <c r="G55" s="218" t="s">
        <v>429</v>
      </c>
      <c r="L55"/>
    </row>
    <row r="56" spans="1:15" x14ac:dyDescent="0.3">
      <c r="A56" s="1"/>
      <c r="B56" s="70" t="s">
        <v>226</v>
      </c>
      <c r="C56" s="69" t="s">
        <v>227</v>
      </c>
      <c r="D56" s="69"/>
      <c r="E56"/>
      <c r="G56" s="186"/>
      <c r="H56" s="217">
        <v>96000</v>
      </c>
      <c r="I56" s="217"/>
      <c r="J56" s="204"/>
    </row>
    <row r="57" spans="1:15" x14ac:dyDescent="0.3">
      <c r="A57" s="1"/>
      <c r="B57" s="65" t="s">
        <v>228</v>
      </c>
      <c r="C57" s="64" t="s">
        <v>227</v>
      </c>
      <c r="D57" s="64"/>
      <c r="E57"/>
      <c r="G57" s="208"/>
      <c r="H57" s="121">
        <v>30000</v>
      </c>
      <c r="I57" s="121"/>
      <c r="J57" s="196"/>
    </row>
    <row r="58" spans="1:15" s="1" customFormat="1" x14ac:dyDescent="0.3">
      <c r="B58" s="192" t="s">
        <v>229</v>
      </c>
      <c r="C58" s="121" t="s">
        <v>227</v>
      </c>
      <c r="D58" s="196">
        <f>25*50</f>
        <v>1250</v>
      </c>
      <c r="E58"/>
      <c r="F58" s="8"/>
      <c r="G58" s="208" t="s">
        <v>245</v>
      </c>
      <c r="H58" s="50">
        <f>-85800*1.04</f>
        <v>-89232</v>
      </c>
      <c r="I58" s="121">
        <v>80000</v>
      </c>
      <c r="J58" s="196">
        <f>I58*1.045</f>
        <v>83600</v>
      </c>
      <c r="L58"/>
      <c r="O58"/>
    </row>
    <row r="59" spans="1:15" s="1" customFormat="1" x14ac:dyDescent="0.3">
      <c r="A59"/>
      <c r="B59" s="192" t="s">
        <v>230</v>
      </c>
      <c r="C59" s="121" t="s">
        <v>227</v>
      </c>
      <c r="D59" s="196">
        <f>D58</f>
        <v>1250</v>
      </c>
      <c r="E59"/>
      <c r="F59" s="8"/>
      <c r="G59" s="208" t="s">
        <v>1</v>
      </c>
      <c r="H59" s="50">
        <v>-20000</v>
      </c>
      <c r="I59" s="121"/>
      <c r="J59" s="196">
        <v>20000</v>
      </c>
      <c r="L59"/>
      <c r="O59"/>
    </row>
    <row r="60" spans="1:15" s="1" customFormat="1" x14ac:dyDescent="0.3">
      <c r="A60"/>
      <c r="B60" s="192" t="s">
        <v>231</v>
      </c>
      <c r="C60" s="121" t="s">
        <v>232</v>
      </c>
      <c r="D60" s="196">
        <f>D58*5</f>
        <v>6250</v>
      </c>
      <c r="E60"/>
      <c r="F60" s="8"/>
      <c r="G60" s="208" t="s">
        <v>246</v>
      </c>
      <c r="H60" s="50">
        <f>-16.9*1.16*500</f>
        <v>-9801.9999999999982</v>
      </c>
      <c r="I60" s="121"/>
      <c r="J60" s="196">
        <v>10000</v>
      </c>
      <c r="L60"/>
      <c r="O60"/>
    </row>
    <row r="61" spans="1:15" s="1" customFormat="1" x14ac:dyDescent="0.3">
      <c r="A61"/>
      <c r="B61" s="195" t="s">
        <v>233</v>
      </c>
      <c r="C61" s="191" t="s">
        <v>232</v>
      </c>
      <c r="D61" s="197"/>
      <c r="E61"/>
      <c r="F61" s="8"/>
      <c r="G61" s="208"/>
      <c r="H61" s="50">
        <f>SUM(H56:H60)</f>
        <v>6966.0000000000018</v>
      </c>
      <c r="I61" s="121"/>
      <c r="J61" s="196">
        <f>SUM(J58:J60)</f>
        <v>113600</v>
      </c>
      <c r="L61"/>
      <c r="O61"/>
    </row>
    <row r="62" spans="1:15" s="1" customFormat="1" x14ac:dyDescent="0.3">
      <c r="A62"/>
      <c r="B62"/>
      <c r="E62"/>
      <c r="F62" s="8"/>
      <c r="G62" s="209"/>
      <c r="H62" s="191"/>
      <c r="I62" s="191"/>
      <c r="J62" s="197">
        <f>H56+H57-J61</f>
        <v>12400</v>
      </c>
      <c r="L62"/>
      <c r="O62"/>
    </row>
    <row r="63" spans="1:15" s="1" customFormat="1" x14ac:dyDescent="0.3">
      <c r="A63"/>
      <c r="B63"/>
      <c r="F63" s="8"/>
      <c r="L63"/>
      <c r="O63"/>
    </row>
  </sheetData>
  <mergeCells count="1">
    <mergeCell ref="M1:N1"/>
  </mergeCells>
  <conditionalFormatting sqref="N6">
    <cfRule type="cellIs" dxfId="5" priority="1" operator="lessThan">
      <formula>0</formula>
    </cfRule>
  </conditionalFormatting>
  <conditionalFormatting sqref="N6">
    <cfRule type="cellIs" dxfId="4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D946-32F4-4361-AC50-2EA1AB69A8AB}">
  <dimension ref="A1:V65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5546875" defaultRowHeight="14.4" x14ac:dyDescent="0.3"/>
  <cols>
    <col min="1" max="1" width="4.6640625" customWidth="1"/>
    <col min="2" max="2" width="42.5546875" customWidth="1"/>
    <col min="3" max="3" width="17.109375" style="1" customWidth="1"/>
    <col min="4" max="4" width="14.6640625" style="1" customWidth="1"/>
    <col min="5" max="5" width="12.44140625" style="8" bestFit="1" customWidth="1"/>
    <col min="6" max="6" width="12.44140625" style="1" bestFit="1" customWidth="1"/>
    <col min="7" max="7" width="4.6640625" style="8" customWidth="1"/>
    <col min="8" max="8" width="27.33203125" style="1" customWidth="1"/>
    <col min="9" max="9" width="14.6640625" style="1" customWidth="1"/>
    <col min="10" max="10" width="18.33203125" style="1" customWidth="1"/>
    <col min="11" max="11" width="18.44140625" customWidth="1"/>
    <col min="12" max="12" width="14.6640625" style="1" customWidth="1"/>
    <col min="13" max="13" width="26.44140625" customWidth="1"/>
    <col min="14" max="14" width="15.5546875" style="1" customWidth="1"/>
    <col min="15" max="15" width="22.21875" style="1" customWidth="1"/>
    <col min="18" max="18" width="22.21875" customWidth="1"/>
  </cols>
  <sheetData>
    <row r="1" spans="1:16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L1"/>
      <c r="N1"/>
      <c r="O1" s="269" t="s">
        <v>450</v>
      </c>
      <c r="P1" s="269"/>
    </row>
    <row r="2" spans="1:16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L2"/>
      <c r="N2"/>
      <c r="O2" s="76" t="s">
        <v>425</v>
      </c>
      <c r="P2" s="270">
        <f>C51</f>
        <v>186422.016</v>
      </c>
    </row>
    <row r="3" spans="1:16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L3"/>
      <c r="N3"/>
      <c r="O3" s="76" t="s">
        <v>269</v>
      </c>
      <c r="P3" s="270">
        <f>D51</f>
        <v>331571.09000000008</v>
      </c>
    </row>
    <row r="4" spans="1:16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L4"/>
      <c r="N4"/>
      <c r="O4" s="76" t="s">
        <v>423</v>
      </c>
      <c r="P4" s="270">
        <f>I13</f>
        <v>206448</v>
      </c>
    </row>
    <row r="5" spans="1:16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L5"/>
      <c r="N5"/>
      <c r="O5" s="76" t="s">
        <v>424</v>
      </c>
      <c r="P5" s="270">
        <f>I26</f>
        <v>23500</v>
      </c>
    </row>
    <row r="6" spans="1:16" ht="17.399999999999999" x14ac:dyDescent="0.35">
      <c r="B6" s="68" t="s">
        <v>291</v>
      </c>
      <c r="C6" s="82" t="s">
        <v>90</v>
      </c>
      <c r="D6" s="103" t="s">
        <v>91</v>
      </c>
      <c r="E6"/>
      <c r="H6" s="122" t="s">
        <v>92</v>
      </c>
      <c r="I6" s="124"/>
      <c r="K6" s="3"/>
      <c r="M6" s="1"/>
      <c r="O6" s="274" t="s">
        <v>444</v>
      </c>
      <c r="P6" s="272">
        <f>P4-P5-P2</f>
        <v>-3474.0160000000033</v>
      </c>
    </row>
    <row r="7" spans="1:16" x14ac:dyDescent="0.3">
      <c r="B7" s="65" t="s">
        <v>30</v>
      </c>
      <c r="C7" s="94">
        <v>110000</v>
      </c>
      <c r="D7" s="86">
        <f>110000-C7</f>
        <v>0</v>
      </c>
      <c r="E7"/>
      <c r="H7" s="123" t="s">
        <v>266</v>
      </c>
      <c r="I7" s="125"/>
      <c r="J7" s="42"/>
      <c r="K7" s="40"/>
      <c r="M7" s="2"/>
    </row>
    <row r="8" spans="1:16" x14ac:dyDescent="0.3">
      <c r="B8" s="70" t="s">
        <v>292</v>
      </c>
      <c r="C8" s="69">
        <v>10000</v>
      </c>
      <c r="D8" s="98"/>
      <c r="E8"/>
      <c r="H8" s="123" t="s">
        <v>293</v>
      </c>
      <c r="I8" s="125">
        <v>206448</v>
      </c>
      <c r="J8" s="45">
        <v>46164</v>
      </c>
      <c r="K8" s="40">
        <f>I8*0.042</f>
        <v>8670.8160000000007</v>
      </c>
      <c r="L8" s="1">
        <f>I8-K8</f>
        <v>197777.18400000001</v>
      </c>
      <c r="M8" s="2"/>
    </row>
    <row r="9" spans="1:16" x14ac:dyDescent="0.3">
      <c r="B9" s="65" t="s">
        <v>294</v>
      </c>
      <c r="C9" s="64"/>
      <c r="D9" s="110">
        <v>20000</v>
      </c>
      <c r="E9"/>
      <c r="H9" s="123" t="s">
        <v>295</v>
      </c>
      <c r="I9" s="125"/>
      <c r="J9" s="42"/>
      <c r="K9" s="40"/>
      <c r="M9" s="2"/>
    </row>
    <row r="10" spans="1:16" x14ac:dyDescent="0.3">
      <c r="B10" s="70" t="s">
        <v>41</v>
      </c>
      <c r="C10" s="69">
        <f>I28</f>
        <v>27000</v>
      </c>
      <c r="D10" s="98"/>
      <c r="E10"/>
      <c r="H10" s="123" t="s">
        <v>296</v>
      </c>
      <c r="I10" s="125"/>
      <c r="J10" s="42"/>
      <c r="K10" s="40"/>
      <c r="M10" s="2"/>
    </row>
    <row r="11" spans="1:16" x14ac:dyDescent="0.3">
      <c r="B11" s="65" t="s">
        <v>107</v>
      </c>
      <c r="C11" s="94">
        <f>(I8+I7+I10+I11)*0.042</f>
        <v>8670.8160000000007</v>
      </c>
      <c r="D11" s="79"/>
      <c r="E11"/>
      <c r="H11" s="123" t="s">
        <v>297</v>
      </c>
      <c r="I11" s="125"/>
      <c r="J11" s="42"/>
      <c r="K11" s="40"/>
      <c r="M11" s="2"/>
    </row>
    <row r="12" spans="1:16" x14ac:dyDescent="0.3">
      <c r="B12" s="70" t="s">
        <v>298</v>
      </c>
      <c r="C12" s="69"/>
      <c r="D12" s="98"/>
      <c r="E12"/>
      <c r="H12" s="123"/>
      <c r="I12" s="125"/>
      <c r="J12" s="42"/>
      <c r="K12" s="40"/>
      <c r="M12" s="2"/>
    </row>
    <row r="13" spans="1:16" x14ac:dyDescent="0.3">
      <c r="B13" s="65" t="s">
        <v>2</v>
      </c>
      <c r="C13" s="64"/>
      <c r="D13" s="86"/>
      <c r="E13"/>
      <c r="H13" s="126"/>
      <c r="I13" s="127">
        <f>SUM(I7:I12)</f>
        <v>206448</v>
      </c>
      <c r="J13" s="42"/>
      <c r="M13" s="2"/>
    </row>
    <row r="14" spans="1:16" x14ac:dyDescent="0.3">
      <c r="B14" s="70" t="s">
        <v>258</v>
      </c>
      <c r="C14" s="69"/>
      <c r="D14" s="98"/>
      <c r="E14"/>
      <c r="H14" s="1" t="s">
        <v>99</v>
      </c>
      <c r="I14" s="32">
        <f>I13-C51</f>
        <v>20025.983999999997</v>
      </c>
      <c r="J14" s="42"/>
      <c r="M14" s="2"/>
    </row>
    <row r="15" spans="1:16" x14ac:dyDescent="0.3">
      <c r="B15" s="83" t="s">
        <v>37</v>
      </c>
      <c r="C15" s="64"/>
      <c r="D15" s="110">
        <v>10000</v>
      </c>
      <c r="E15"/>
      <c r="M15" s="2"/>
    </row>
    <row r="16" spans="1:16" x14ac:dyDescent="0.3">
      <c r="B16" s="70" t="s">
        <v>160</v>
      </c>
      <c r="C16" s="69"/>
      <c r="D16" s="98"/>
      <c r="E16"/>
      <c r="H16" s="129" t="s">
        <v>193</v>
      </c>
      <c r="I16" s="124"/>
      <c r="M16" s="2"/>
    </row>
    <row r="17" spans="1:16" x14ac:dyDescent="0.3">
      <c r="B17" s="65" t="s">
        <v>221</v>
      </c>
      <c r="C17" s="72"/>
      <c r="D17" s="86">
        <v>32480</v>
      </c>
      <c r="E17"/>
      <c r="H17" s="130" t="s">
        <v>59</v>
      </c>
      <c r="I17" s="137">
        <v>4000</v>
      </c>
      <c r="L17" s="3"/>
      <c r="M17" s="2"/>
    </row>
    <row r="18" spans="1:16" x14ac:dyDescent="0.3">
      <c r="B18" s="70" t="s">
        <v>7</v>
      </c>
      <c r="C18" s="69"/>
      <c r="D18" s="98">
        <f>3886</f>
        <v>3886</v>
      </c>
      <c r="E18"/>
      <c r="F18" s="8"/>
      <c r="H18" s="130" t="s">
        <v>61</v>
      </c>
      <c r="I18" s="137">
        <v>3000</v>
      </c>
      <c r="M18" s="2"/>
    </row>
    <row r="19" spans="1:16" x14ac:dyDescent="0.3">
      <c r="B19" s="65" t="s">
        <v>214</v>
      </c>
      <c r="C19" s="64"/>
      <c r="D19" s="79"/>
      <c r="E19"/>
      <c r="H19" s="130" t="s">
        <v>299</v>
      </c>
      <c r="I19" s="125">
        <f>1500+300+50</f>
        <v>1850</v>
      </c>
      <c r="K19" s="40"/>
      <c r="M19" s="2"/>
    </row>
    <row r="20" spans="1:16" x14ac:dyDescent="0.3">
      <c r="B20" s="70" t="s">
        <v>300</v>
      </c>
      <c r="C20" s="69">
        <v>1044</v>
      </c>
      <c r="D20" s="98"/>
      <c r="E20"/>
      <c r="H20" s="130" t="s">
        <v>267</v>
      </c>
      <c r="I20" s="137">
        <v>3400</v>
      </c>
      <c r="M20" s="2"/>
    </row>
    <row r="21" spans="1:16" x14ac:dyDescent="0.3">
      <c r="B21" s="65" t="s">
        <v>280</v>
      </c>
      <c r="C21" s="72"/>
      <c r="D21" s="108">
        <v>3596.65</v>
      </c>
      <c r="E21"/>
      <c r="H21" s="130" t="s">
        <v>301</v>
      </c>
      <c r="I21" s="137"/>
    </row>
    <row r="22" spans="1:16" x14ac:dyDescent="0.3">
      <c r="B22" s="70" t="s">
        <v>302</v>
      </c>
      <c r="C22" s="69"/>
      <c r="D22" s="98">
        <f>4476.15+4476.15</f>
        <v>8952.2999999999993</v>
      </c>
      <c r="E22"/>
      <c r="H22" s="130" t="s">
        <v>62</v>
      </c>
      <c r="I22" s="137">
        <v>1950</v>
      </c>
    </row>
    <row r="23" spans="1:16" x14ac:dyDescent="0.3">
      <c r="B23" s="65" t="s">
        <v>134</v>
      </c>
      <c r="C23" s="64"/>
      <c r="D23" s="111">
        <v>2033</v>
      </c>
      <c r="E23"/>
      <c r="H23" s="130" t="s">
        <v>19</v>
      </c>
      <c r="I23" s="137">
        <v>3500</v>
      </c>
    </row>
    <row r="24" spans="1:16" x14ac:dyDescent="0.3">
      <c r="B24" s="70" t="s">
        <v>303</v>
      </c>
      <c r="C24" s="69"/>
      <c r="D24" s="98"/>
      <c r="E24"/>
      <c r="H24" s="130" t="s">
        <v>304</v>
      </c>
      <c r="I24" s="137">
        <v>3500</v>
      </c>
    </row>
    <row r="25" spans="1:16" x14ac:dyDescent="0.3">
      <c r="A25" t="s">
        <v>305</v>
      </c>
      <c r="B25" s="65" t="s">
        <v>175</v>
      </c>
      <c r="C25" s="72"/>
      <c r="D25" s="108">
        <v>8129.69</v>
      </c>
      <c r="E25"/>
      <c r="F25" s="8"/>
      <c r="H25" s="130" t="s">
        <v>306</v>
      </c>
      <c r="I25" s="137">
        <v>2300</v>
      </c>
    </row>
    <row r="26" spans="1:16" s="1" customFormat="1" x14ac:dyDescent="0.3">
      <c r="A26"/>
      <c r="B26" s="70" t="s">
        <v>307</v>
      </c>
      <c r="C26" s="69">
        <v>7134</v>
      </c>
      <c r="D26" s="98"/>
      <c r="E26"/>
      <c r="G26" s="8"/>
      <c r="H26" s="134"/>
      <c r="I26" s="132">
        <f>SUM(I16:I25)</f>
        <v>23500</v>
      </c>
      <c r="M26"/>
      <c r="P26"/>
    </row>
    <row r="27" spans="1:16" s="1" customFormat="1" x14ac:dyDescent="0.3">
      <c r="A27"/>
      <c r="B27" s="95" t="s">
        <v>308</v>
      </c>
      <c r="C27" s="94">
        <f>3596</f>
        <v>3596</v>
      </c>
      <c r="D27" s="86"/>
      <c r="E27"/>
      <c r="G27" s="8"/>
      <c r="H27" t="s">
        <v>143</v>
      </c>
      <c r="I27" s="44">
        <v>3500</v>
      </c>
      <c r="K27"/>
      <c r="M27"/>
      <c r="P27"/>
    </row>
    <row r="28" spans="1:16" s="1" customFormat="1" x14ac:dyDescent="0.3">
      <c r="A28"/>
      <c r="B28" s="70" t="s">
        <v>283</v>
      </c>
      <c r="C28" s="69"/>
      <c r="D28" s="98"/>
      <c r="E28"/>
      <c r="G28" s="8"/>
      <c r="H28"/>
      <c r="I28" s="3">
        <f>I26+I27</f>
        <v>27000</v>
      </c>
      <c r="K28" s="40"/>
      <c r="M28"/>
      <c r="P28"/>
    </row>
    <row r="29" spans="1:16" s="1" customFormat="1" ht="15" thickBot="1" x14ac:dyDescent="0.35">
      <c r="A29"/>
      <c r="B29" s="65" t="s">
        <v>137</v>
      </c>
      <c r="C29" s="72"/>
      <c r="D29" s="86">
        <v>47000</v>
      </c>
      <c r="E29"/>
      <c r="G29" s="8"/>
      <c r="K29"/>
      <c r="M29"/>
      <c r="P29"/>
    </row>
    <row r="30" spans="1:16" s="1" customFormat="1" x14ac:dyDescent="0.3">
      <c r="B30" s="70" t="s">
        <v>219</v>
      </c>
      <c r="C30" s="69"/>
      <c r="D30" s="98"/>
      <c r="E30"/>
      <c r="F30" s="28"/>
      <c r="G30" s="8"/>
      <c r="H30"/>
      <c r="I30" s="46" t="s">
        <v>309</v>
      </c>
      <c r="J30" s="47">
        <v>40000</v>
      </c>
      <c r="K30" s="48"/>
      <c r="M30"/>
      <c r="P30"/>
    </row>
    <row r="31" spans="1:16" s="1" customFormat="1" x14ac:dyDescent="0.3">
      <c r="B31" s="65" t="s">
        <v>114</v>
      </c>
      <c r="C31" s="72"/>
      <c r="D31" s="86"/>
      <c r="E31"/>
      <c r="G31" s="8"/>
      <c r="I31" s="49" t="s">
        <v>1</v>
      </c>
      <c r="J31" s="50">
        <v>26500</v>
      </c>
      <c r="K31" s="51" t="s">
        <v>31</v>
      </c>
      <c r="M31">
        <v>165000</v>
      </c>
      <c r="P31"/>
    </row>
    <row r="32" spans="1:16" s="1" customFormat="1" x14ac:dyDescent="0.3">
      <c r="B32" s="70" t="s">
        <v>260</v>
      </c>
      <c r="C32" s="69"/>
      <c r="D32" s="98"/>
      <c r="E32"/>
      <c r="G32" s="8"/>
      <c r="I32" s="49"/>
      <c r="J32" s="50"/>
      <c r="K32" s="52"/>
      <c r="M32">
        <v>25000</v>
      </c>
      <c r="P32"/>
    </row>
    <row r="33" spans="1:22" s="1" customFormat="1" x14ac:dyDescent="0.3">
      <c r="B33" s="65" t="s">
        <v>11</v>
      </c>
      <c r="C33" s="64"/>
      <c r="D33" s="112">
        <v>52907.48</v>
      </c>
      <c r="E33"/>
      <c r="F33" s="42">
        <v>46170</v>
      </c>
      <c r="G33" s="8"/>
      <c r="I33" s="49" t="s">
        <v>310</v>
      </c>
      <c r="J33" s="53">
        <v>50000</v>
      </c>
      <c r="K33" s="51" t="s">
        <v>31</v>
      </c>
      <c r="M33">
        <f>M31-M32</f>
        <v>140000</v>
      </c>
      <c r="P33"/>
    </row>
    <row r="34" spans="1:22" s="1" customFormat="1" x14ac:dyDescent="0.3">
      <c r="B34" s="70" t="s">
        <v>11</v>
      </c>
      <c r="C34" s="69"/>
      <c r="D34" s="98">
        <v>14592.86</v>
      </c>
      <c r="E34"/>
      <c r="F34" s="42">
        <v>46201</v>
      </c>
      <c r="G34" s="8"/>
      <c r="I34" s="49" t="s">
        <v>285</v>
      </c>
      <c r="J34" s="53">
        <v>12500</v>
      </c>
      <c r="K34" s="54" t="s">
        <v>284</v>
      </c>
      <c r="M34"/>
      <c r="P34"/>
    </row>
    <row r="35" spans="1:22" s="1" customFormat="1" x14ac:dyDescent="0.3">
      <c r="B35" s="65" t="s">
        <v>223</v>
      </c>
      <c r="C35" s="72"/>
      <c r="D35" s="86"/>
      <c r="E35"/>
      <c r="G35" s="22"/>
      <c r="I35" s="49" t="s">
        <v>286</v>
      </c>
      <c r="J35" s="53">
        <v>42500</v>
      </c>
      <c r="K35" s="54" t="s">
        <v>284</v>
      </c>
      <c r="M35"/>
      <c r="P35"/>
    </row>
    <row r="36" spans="1:22" s="1" customFormat="1" x14ac:dyDescent="0.3">
      <c r="B36" s="70" t="s">
        <v>194</v>
      </c>
      <c r="C36" s="69"/>
      <c r="D36" s="98">
        <v>30740</v>
      </c>
      <c r="E36"/>
      <c r="G36" s="22"/>
      <c r="I36" s="49" t="s">
        <v>61</v>
      </c>
      <c r="J36" s="53">
        <v>26500</v>
      </c>
      <c r="K36" s="54" t="s">
        <v>284</v>
      </c>
      <c r="M36"/>
      <c r="P36"/>
    </row>
    <row r="37" spans="1:22" s="1" customFormat="1" x14ac:dyDescent="0.3">
      <c r="B37" s="65" t="s">
        <v>311</v>
      </c>
      <c r="C37" s="94">
        <v>2729</v>
      </c>
      <c r="D37" s="86"/>
      <c r="E37"/>
      <c r="F37" s="8"/>
      <c r="G37" s="22"/>
      <c r="I37" s="49" t="s">
        <v>312</v>
      </c>
      <c r="J37" s="53">
        <v>12500</v>
      </c>
      <c r="K37" s="54" t="s">
        <v>284</v>
      </c>
      <c r="M37"/>
      <c r="P37"/>
    </row>
    <row r="38" spans="1:22" s="1" customFormat="1" x14ac:dyDescent="0.3">
      <c r="B38" s="70" t="s">
        <v>102</v>
      </c>
      <c r="C38" s="69"/>
      <c r="D38" s="98"/>
      <c r="E38"/>
      <c r="G38" s="22"/>
      <c r="I38" s="49"/>
      <c r="J38" s="53"/>
      <c r="K38" s="54"/>
      <c r="M38"/>
      <c r="P38"/>
    </row>
    <row r="39" spans="1:22" s="1" customFormat="1" x14ac:dyDescent="0.3">
      <c r="B39" s="65" t="s">
        <v>243</v>
      </c>
      <c r="C39" s="72"/>
      <c r="D39" s="86"/>
      <c r="E39"/>
      <c r="G39" s="22"/>
      <c r="I39" s="252" t="s">
        <v>429</v>
      </c>
      <c r="J39" s="50"/>
      <c r="K39" s="51"/>
      <c r="M39"/>
      <c r="P39"/>
    </row>
    <row r="40" spans="1:22" s="1" customFormat="1" x14ac:dyDescent="0.3">
      <c r="B40" s="70" t="s">
        <v>270</v>
      </c>
      <c r="C40" s="69"/>
      <c r="D40" s="98">
        <v>77738.850000000006</v>
      </c>
      <c r="E40"/>
      <c r="G40" s="22"/>
      <c r="I40" s="248" t="s">
        <v>313</v>
      </c>
      <c r="J40" s="246">
        <f>SUM(J33:J39)</f>
        <v>144000</v>
      </c>
      <c r="K40" s="250"/>
      <c r="M40"/>
      <c r="P40"/>
    </row>
    <row r="41" spans="1:22" ht="15" thickBot="1" x14ac:dyDescent="0.35">
      <c r="A41" s="1"/>
      <c r="B41" s="96" t="s">
        <v>271</v>
      </c>
      <c r="C41" s="94">
        <v>14697.2</v>
      </c>
      <c r="D41" s="86"/>
      <c r="E41"/>
      <c r="G41" s="22"/>
      <c r="I41" s="249"/>
      <c r="J41" s="247">
        <f>J30+J31+J40</f>
        <v>210500</v>
      </c>
      <c r="K41" s="251">
        <f>197000-J41</f>
        <v>-13500</v>
      </c>
    </row>
    <row r="42" spans="1:22" x14ac:dyDescent="0.3">
      <c r="A42" s="1"/>
      <c r="B42" s="70" t="s">
        <v>271</v>
      </c>
      <c r="C42" s="69"/>
      <c r="D42" s="98"/>
      <c r="E42"/>
      <c r="G42" s="22"/>
      <c r="H42" s="218" t="s">
        <v>429</v>
      </c>
    </row>
    <row r="43" spans="1:22" x14ac:dyDescent="0.3">
      <c r="A43" s="1"/>
      <c r="B43" s="96" t="s">
        <v>271</v>
      </c>
      <c r="C43" s="72"/>
      <c r="D43" s="79"/>
      <c r="E43"/>
      <c r="G43" s="22"/>
      <c r="H43" s="242" t="s">
        <v>314</v>
      </c>
      <c r="I43" s="217">
        <v>12800</v>
      </c>
      <c r="J43" s="254" t="s">
        <v>284</v>
      </c>
    </row>
    <row r="44" spans="1:22" x14ac:dyDescent="0.3">
      <c r="A44" s="1"/>
      <c r="B44" s="70" t="s">
        <v>241</v>
      </c>
      <c r="C44" s="69"/>
      <c r="D44" s="98">
        <v>6086.26</v>
      </c>
      <c r="E44"/>
      <c r="G44" s="22"/>
      <c r="H44" s="208"/>
      <c r="I44" s="121">
        <v>12800</v>
      </c>
      <c r="J44" s="255" t="s">
        <v>284</v>
      </c>
      <c r="L44" s="8"/>
      <c r="N44" s="8"/>
      <c r="O44" s="8"/>
    </row>
    <row r="45" spans="1:22" x14ac:dyDescent="0.3">
      <c r="A45" s="1"/>
      <c r="B45" s="65" t="s">
        <v>48</v>
      </c>
      <c r="C45" s="72"/>
      <c r="D45" s="86"/>
      <c r="E45"/>
      <c r="G45" s="22"/>
      <c r="H45" s="208"/>
      <c r="I45" s="121">
        <v>19450</v>
      </c>
      <c r="J45" s="255" t="s">
        <v>284</v>
      </c>
      <c r="K45" s="43"/>
    </row>
    <row r="46" spans="1:22" x14ac:dyDescent="0.3">
      <c r="A46" s="1"/>
      <c r="B46" s="70" t="s">
        <v>242</v>
      </c>
      <c r="C46" s="69"/>
      <c r="D46" s="98"/>
      <c r="E46"/>
      <c r="G46" s="22"/>
      <c r="H46" s="253"/>
      <c r="I46" s="235">
        <v>17800</v>
      </c>
      <c r="J46" s="255" t="s">
        <v>284</v>
      </c>
    </row>
    <row r="47" spans="1:22" x14ac:dyDescent="0.3">
      <c r="A47" s="1"/>
      <c r="B47" s="65" t="s">
        <v>132</v>
      </c>
      <c r="C47" s="72"/>
      <c r="D47" s="86"/>
      <c r="E47"/>
      <c r="G47" s="22"/>
      <c r="H47" s="209"/>
      <c r="I47" s="189" t="s">
        <v>49</v>
      </c>
      <c r="J47" s="256"/>
      <c r="K47" s="8"/>
      <c r="L47" s="28">
        <v>49247.8</v>
      </c>
      <c r="M47" s="1"/>
      <c r="N47" s="22"/>
      <c r="P47" s="1"/>
      <c r="Q47" s="1"/>
      <c r="S47" s="1"/>
      <c r="U47" s="1"/>
      <c r="V47" s="1"/>
    </row>
    <row r="48" spans="1:22" s="1" customFormat="1" x14ac:dyDescent="0.3">
      <c r="A48"/>
      <c r="B48" s="70" t="s">
        <v>315</v>
      </c>
      <c r="C48" s="69">
        <v>1551</v>
      </c>
      <c r="D48" s="102"/>
      <c r="E48"/>
      <c r="F48"/>
      <c r="G48"/>
      <c r="M48"/>
      <c r="P48"/>
    </row>
    <row r="49" spans="1:16" s="1" customFormat="1" x14ac:dyDescent="0.3">
      <c r="B49" s="65" t="s">
        <v>289</v>
      </c>
      <c r="C49" s="72"/>
      <c r="D49" s="86"/>
      <c r="E49"/>
      <c r="F49" s="8"/>
      <c r="G49" s="22"/>
      <c r="J49" s="218" t="s">
        <v>429</v>
      </c>
      <c r="M49"/>
      <c r="P49"/>
    </row>
    <row r="50" spans="1:16" s="1" customFormat="1" x14ac:dyDescent="0.3">
      <c r="A50" s="8"/>
      <c r="B50" s="69" t="s">
        <v>316</v>
      </c>
      <c r="C50" s="69"/>
      <c r="D50" s="98">
        <v>13428</v>
      </c>
      <c r="E50"/>
      <c r="G50" s="22"/>
      <c r="J50" s="242" t="s">
        <v>272</v>
      </c>
      <c r="K50" s="204"/>
      <c r="M50"/>
      <c r="P50"/>
    </row>
    <row r="51" spans="1:16" s="1" customFormat="1" x14ac:dyDescent="0.3">
      <c r="A51"/>
      <c r="B51" s="65"/>
      <c r="C51" s="67">
        <f>SUM(C7:C50)</f>
        <v>186422.016</v>
      </c>
      <c r="D51" s="105">
        <f>SUM(D7:D50)</f>
        <v>331571.09000000008</v>
      </c>
      <c r="E51"/>
      <c r="F51" s="15"/>
      <c r="G51" s="8"/>
      <c r="J51" s="208" t="s">
        <v>273</v>
      </c>
      <c r="K51" s="243">
        <v>1300</v>
      </c>
      <c r="M51"/>
    </row>
    <row r="52" spans="1:16" s="1" customFormat="1" x14ac:dyDescent="0.3">
      <c r="A52"/>
      <c r="B52" s="70"/>
      <c r="C52" s="91"/>
      <c r="D52" s="98"/>
      <c r="E52"/>
      <c r="G52" s="8"/>
      <c r="J52" s="208" t="s">
        <v>274</v>
      </c>
      <c r="K52" s="243">
        <v>1000</v>
      </c>
      <c r="M52"/>
      <c r="P52"/>
    </row>
    <row r="53" spans="1:16" s="1" customFormat="1" x14ac:dyDescent="0.3">
      <c r="A53"/>
      <c r="B53" s="72">
        <f>D44+C24+C27+C50</f>
        <v>9682.26</v>
      </c>
      <c r="C53" s="88"/>
      <c r="D53" s="79"/>
      <c r="E53"/>
      <c r="G53" s="8"/>
      <c r="J53" s="208" t="s">
        <v>275</v>
      </c>
      <c r="K53" s="243">
        <v>800</v>
      </c>
      <c r="M53"/>
    </row>
    <row r="54" spans="1:16" s="1" customFormat="1" x14ac:dyDescent="0.3">
      <c r="A54"/>
      <c r="B54" s="69"/>
      <c r="C54" s="69"/>
      <c r="D54" s="98"/>
      <c r="E54"/>
      <c r="G54" s="8"/>
      <c r="J54" s="209" t="s">
        <v>276</v>
      </c>
      <c r="K54" s="244">
        <v>700</v>
      </c>
      <c r="M54"/>
    </row>
    <row r="55" spans="1:16" s="1" customFormat="1" x14ac:dyDescent="0.3">
      <c r="A55"/>
      <c r="B55" s="64"/>
      <c r="C55" s="72"/>
      <c r="D55" s="79"/>
      <c r="E55"/>
      <c r="G55" s="8"/>
      <c r="K55"/>
      <c r="M55"/>
    </row>
    <row r="56" spans="1:16" x14ac:dyDescent="0.3">
      <c r="A56" s="1"/>
      <c r="B56" s="70"/>
      <c r="C56" s="69"/>
      <c r="D56" s="98"/>
      <c r="E56"/>
      <c r="K56" s="1"/>
    </row>
    <row r="57" spans="1:16" x14ac:dyDescent="0.3">
      <c r="B57" s="239" t="s">
        <v>432</v>
      </c>
      <c r="C57" s="238"/>
      <c r="D57" s="186"/>
      <c r="E57"/>
      <c r="K57" s="1"/>
    </row>
    <row r="58" spans="1:16" s="1" customFormat="1" x14ac:dyDescent="0.3">
      <c r="B58" s="70" t="s">
        <v>226</v>
      </c>
      <c r="C58" s="69" t="s">
        <v>227</v>
      </c>
      <c r="D58" s="69"/>
      <c r="E58"/>
      <c r="G58" s="8"/>
      <c r="M58"/>
      <c r="P58"/>
    </row>
    <row r="59" spans="1:16" s="1" customFormat="1" x14ac:dyDescent="0.3">
      <c r="B59" s="192" t="s">
        <v>228</v>
      </c>
      <c r="C59" s="121" t="s">
        <v>227</v>
      </c>
      <c r="D59" s="196"/>
      <c r="E59"/>
      <c r="G59" s="8"/>
      <c r="M59"/>
      <c r="P59"/>
    </row>
    <row r="60" spans="1:16" s="1" customFormat="1" x14ac:dyDescent="0.3">
      <c r="B60" s="192" t="s">
        <v>229</v>
      </c>
      <c r="C60" s="121" t="s">
        <v>227</v>
      </c>
      <c r="D60" s="196">
        <f>25*50</f>
        <v>1250</v>
      </c>
      <c r="E60"/>
      <c r="G60" s="8"/>
      <c r="M60"/>
      <c r="P60"/>
    </row>
    <row r="61" spans="1:16" s="1" customFormat="1" x14ac:dyDescent="0.3">
      <c r="A61"/>
      <c r="B61" s="192" t="s">
        <v>230</v>
      </c>
      <c r="C61" s="121" t="s">
        <v>227</v>
      </c>
      <c r="D61" s="196">
        <f>D60</f>
        <v>1250</v>
      </c>
      <c r="E61"/>
      <c r="G61" s="8"/>
      <c r="M61"/>
      <c r="P61"/>
    </row>
    <row r="62" spans="1:16" s="1" customFormat="1" x14ac:dyDescent="0.3">
      <c r="A62"/>
      <c r="B62" s="192" t="s">
        <v>231</v>
      </c>
      <c r="C62" s="121" t="s">
        <v>232</v>
      </c>
      <c r="D62" s="196">
        <f>D60*5</f>
        <v>6250</v>
      </c>
      <c r="E62"/>
      <c r="G62" s="8"/>
      <c r="M62"/>
      <c r="P62"/>
    </row>
    <row r="63" spans="1:16" s="1" customFormat="1" x14ac:dyDescent="0.3">
      <c r="A63"/>
      <c r="B63" s="195" t="s">
        <v>233</v>
      </c>
      <c r="C63" s="191" t="s">
        <v>232</v>
      </c>
      <c r="D63" s="197"/>
      <c r="E63"/>
      <c r="G63" s="8"/>
      <c r="M63"/>
      <c r="P63"/>
    </row>
    <row r="64" spans="1:16" x14ac:dyDescent="0.3">
      <c r="K64" s="1"/>
    </row>
    <row r="65" spans="11:11" x14ac:dyDescent="0.3">
      <c r="K65" s="1"/>
    </row>
  </sheetData>
  <mergeCells count="1">
    <mergeCell ref="O1:P1"/>
  </mergeCells>
  <conditionalFormatting sqref="P6">
    <cfRule type="cellIs" dxfId="3" priority="1" operator="lessThan">
      <formula>0</formula>
    </cfRule>
  </conditionalFormatting>
  <conditionalFormatting sqref="P6">
    <cfRule type="cellIs" dxfId="2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3481-2EF4-4EB0-8E55-EB7178C1DD7B}">
  <dimension ref="A1:R71"/>
  <sheetViews>
    <sheetView workbookViewId="0">
      <pane ySplit="5" topLeftCell="A6" activePane="bottomLeft" state="frozen"/>
      <selection pane="bottomLeft" activeCell="J85" sqref="J85"/>
    </sheetView>
  </sheetViews>
  <sheetFormatPr baseColWidth="10" defaultColWidth="11.44140625" defaultRowHeight="14.4" x14ac:dyDescent="0.3"/>
  <cols>
    <col min="1" max="1" width="4.6640625" customWidth="1"/>
    <col min="2" max="2" width="42.5546875" customWidth="1"/>
    <col min="3" max="4" width="17.109375" style="1" customWidth="1"/>
    <col min="5" max="5" width="14.6640625" style="1" customWidth="1"/>
    <col min="6" max="6" width="12.44140625" style="8" bestFit="1" customWidth="1"/>
    <col min="7" max="7" width="12.44140625" style="1" bestFit="1" customWidth="1"/>
    <col min="8" max="8" width="4.6640625" style="8" customWidth="1"/>
    <col min="9" max="9" width="45.6640625" style="1" bestFit="1" customWidth="1"/>
    <col min="10" max="10" width="12.44140625" style="1" bestFit="1" customWidth="1"/>
    <col min="11" max="11" width="18.33203125" style="1" customWidth="1"/>
    <col min="12" max="12" width="12.33203125" bestFit="1" customWidth="1"/>
    <col min="13" max="13" width="11.33203125" style="1" bestFit="1" customWidth="1"/>
    <col min="14" max="14" width="26.44140625" customWidth="1"/>
    <col min="15" max="15" width="15.5546875" style="1" customWidth="1"/>
    <col min="16" max="16" width="11.5546875" style="1"/>
    <col min="17" max="18" width="22.21875" customWidth="1"/>
  </cols>
  <sheetData>
    <row r="1" spans="1:18" ht="22.05" customHeight="1" x14ac:dyDescent="0.4">
      <c r="A1" s="58"/>
      <c r="B1" s="115" t="s">
        <v>419</v>
      </c>
      <c r="C1" s="57"/>
      <c r="D1" s="57"/>
      <c r="E1" s="57"/>
      <c r="F1" s="57"/>
      <c r="G1"/>
      <c r="H1"/>
      <c r="I1"/>
      <c r="J1"/>
      <c r="K1"/>
      <c r="M1"/>
      <c r="Q1" s="269" t="s">
        <v>450</v>
      </c>
      <c r="R1" s="269"/>
    </row>
    <row r="2" spans="1:18" ht="15" customHeight="1" x14ac:dyDescent="0.3">
      <c r="A2" s="57"/>
      <c r="B2" s="57"/>
      <c r="C2" s="57"/>
      <c r="D2" s="57"/>
      <c r="E2" s="57"/>
      <c r="F2" s="57"/>
      <c r="G2"/>
      <c r="H2"/>
      <c r="I2"/>
      <c r="J2"/>
      <c r="K2"/>
      <c r="M2"/>
      <c r="Q2" s="85" t="s">
        <v>425</v>
      </c>
      <c r="R2" s="270">
        <f>C53</f>
        <v>314720.90999999997</v>
      </c>
    </row>
    <row r="3" spans="1:18" ht="15" customHeight="1" x14ac:dyDescent="0.3">
      <c r="A3" s="57"/>
      <c r="B3" s="57"/>
      <c r="C3" s="57"/>
      <c r="D3" s="57"/>
      <c r="E3" s="57"/>
      <c r="F3" s="57"/>
      <c r="G3"/>
      <c r="H3"/>
      <c r="I3"/>
      <c r="J3"/>
      <c r="K3"/>
      <c r="M3"/>
      <c r="Q3" s="85" t="s">
        <v>269</v>
      </c>
      <c r="R3" s="270">
        <f>D53</f>
        <v>263589.83999999997</v>
      </c>
    </row>
    <row r="4" spans="1:18" ht="15" customHeight="1" x14ac:dyDescent="0.3">
      <c r="A4" s="57"/>
      <c r="B4" s="57"/>
      <c r="C4" s="57"/>
      <c r="D4" s="57"/>
      <c r="E4" s="57"/>
      <c r="F4" s="57"/>
      <c r="G4"/>
      <c r="H4"/>
      <c r="I4"/>
      <c r="J4"/>
      <c r="K4"/>
      <c r="M4"/>
      <c r="Q4" s="85" t="s">
        <v>423</v>
      </c>
      <c r="R4" s="270">
        <f>J13</f>
        <v>311700</v>
      </c>
    </row>
    <row r="5" spans="1:18" x14ac:dyDescent="0.3">
      <c r="B5" s="116" t="s">
        <v>420</v>
      </c>
      <c r="C5" s="116" t="s">
        <v>90</v>
      </c>
      <c r="D5" s="116" t="s">
        <v>91</v>
      </c>
      <c r="E5"/>
      <c r="F5"/>
      <c r="G5"/>
      <c r="H5"/>
      <c r="I5"/>
      <c r="J5"/>
      <c r="K5"/>
      <c r="M5"/>
      <c r="Q5" s="85" t="s">
        <v>424</v>
      </c>
      <c r="R5" s="270">
        <f>J27</f>
        <v>20250</v>
      </c>
    </row>
    <row r="6" spans="1:18" ht="17.399999999999999" x14ac:dyDescent="0.35">
      <c r="B6" s="68" t="s">
        <v>291</v>
      </c>
      <c r="C6" s="82" t="s">
        <v>90</v>
      </c>
      <c r="D6" s="103"/>
      <c r="E6" t="s">
        <v>91</v>
      </c>
      <c r="F6" s="37"/>
      <c r="I6" s="122" t="s">
        <v>92</v>
      </c>
      <c r="J6" s="124"/>
      <c r="L6" s="3"/>
      <c r="N6" s="1"/>
      <c r="Q6" s="271" t="s">
        <v>444</v>
      </c>
      <c r="R6" s="272">
        <f>R4-R5-R2</f>
        <v>-23270.909999999974</v>
      </c>
    </row>
    <row r="7" spans="1:18" x14ac:dyDescent="0.3">
      <c r="B7" s="65" t="s">
        <v>30</v>
      </c>
      <c r="C7" s="94">
        <v>110000</v>
      </c>
      <c r="D7" s="86"/>
      <c r="E7"/>
      <c r="F7" s="37"/>
      <c r="I7" s="123" t="s">
        <v>266</v>
      </c>
      <c r="J7" s="125">
        <v>184700</v>
      </c>
      <c r="K7" s="55">
        <v>46168</v>
      </c>
      <c r="L7" s="40">
        <f>J7-(J7*0.042)</f>
        <v>176942.6</v>
      </c>
      <c r="N7" s="2"/>
    </row>
    <row r="8" spans="1:18" x14ac:dyDescent="0.3">
      <c r="B8" s="70" t="s">
        <v>292</v>
      </c>
      <c r="C8" s="69"/>
      <c r="D8" s="98"/>
      <c r="E8"/>
      <c r="F8" s="37"/>
      <c r="I8" s="123" t="s">
        <v>293</v>
      </c>
      <c r="J8" s="125"/>
      <c r="K8" s="42"/>
      <c r="L8" s="40"/>
      <c r="N8" s="1"/>
    </row>
    <row r="9" spans="1:18" x14ac:dyDescent="0.3">
      <c r="B9" s="65" t="s">
        <v>294</v>
      </c>
      <c r="C9" s="72"/>
      <c r="D9" s="86"/>
      <c r="E9"/>
      <c r="F9" s="37"/>
      <c r="I9" s="123" t="s">
        <v>295</v>
      </c>
      <c r="J9" s="125">
        <v>127000</v>
      </c>
      <c r="K9" s="42">
        <v>46171</v>
      </c>
      <c r="L9" s="40"/>
      <c r="N9" s="2"/>
    </row>
    <row r="10" spans="1:18" x14ac:dyDescent="0.3">
      <c r="B10" s="70" t="s">
        <v>41</v>
      </c>
      <c r="C10" s="69">
        <f>J29</f>
        <v>25000</v>
      </c>
      <c r="D10" s="98"/>
      <c r="E10"/>
      <c r="F10" s="37"/>
      <c r="I10" s="123" t="s">
        <v>296</v>
      </c>
      <c r="J10" s="125"/>
      <c r="L10" s="40"/>
      <c r="N10" s="2"/>
    </row>
    <row r="11" spans="1:18" x14ac:dyDescent="0.3">
      <c r="B11" s="65" t="s">
        <v>107</v>
      </c>
      <c r="C11" s="94">
        <f>(J7+J8+J9+J10+J11+J12)*0.042</f>
        <v>13091.400000000001</v>
      </c>
      <c r="D11" s="86"/>
      <c r="E11"/>
      <c r="F11" s="37"/>
      <c r="I11" s="123" t="s">
        <v>297</v>
      </c>
      <c r="J11" s="125"/>
      <c r="K11" s="1">
        <v>68000</v>
      </c>
      <c r="L11" s="40">
        <f>SUM(K10:K11)</f>
        <v>68000</v>
      </c>
      <c r="N11" s="2"/>
    </row>
    <row r="12" spans="1:18" x14ac:dyDescent="0.3">
      <c r="B12" s="70" t="s">
        <v>298</v>
      </c>
      <c r="C12" s="69"/>
      <c r="D12" s="98"/>
      <c r="E12"/>
      <c r="F12" s="37"/>
      <c r="I12" s="123"/>
      <c r="J12" s="125"/>
      <c r="K12" s="42"/>
      <c r="L12" s="40"/>
      <c r="N12" s="2"/>
    </row>
    <row r="13" spans="1:18" x14ac:dyDescent="0.3">
      <c r="B13" s="65" t="s">
        <v>2</v>
      </c>
      <c r="C13" s="64"/>
      <c r="D13" s="79">
        <v>40000</v>
      </c>
      <c r="E13"/>
      <c r="I13" s="126"/>
      <c r="J13" s="127">
        <f>SUM(J7:J12)</f>
        <v>311700</v>
      </c>
      <c r="N13" s="2"/>
    </row>
    <row r="14" spans="1:18" x14ac:dyDescent="0.3">
      <c r="B14" s="70" t="s">
        <v>258</v>
      </c>
      <c r="C14" s="69"/>
      <c r="D14" s="98"/>
      <c r="E14"/>
      <c r="I14" s="1" t="s">
        <v>99</v>
      </c>
      <c r="J14" s="32">
        <f>J13-C53</f>
        <v>-3020.9099999999744</v>
      </c>
      <c r="N14" s="2"/>
    </row>
    <row r="15" spans="1:18" x14ac:dyDescent="0.3">
      <c r="B15" s="83" t="s">
        <v>37</v>
      </c>
      <c r="C15" s="94">
        <v>10000</v>
      </c>
      <c r="D15" s="79"/>
      <c r="E15"/>
      <c r="N15" s="2"/>
    </row>
    <row r="16" spans="1:18" x14ac:dyDescent="0.3">
      <c r="B16" s="70" t="s">
        <v>160</v>
      </c>
      <c r="C16" s="69"/>
      <c r="D16" s="98"/>
      <c r="E16"/>
      <c r="I16" s="129" t="s">
        <v>193</v>
      </c>
      <c r="J16" s="124"/>
      <c r="N16" s="2"/>
    </row>
    <row r="17" spans="1:17" x14ac:dyDescent="0.3">
      <c r="B17" s="65" t="s">
        <v>221</v>
      </c>
      <c r="C17" s="64"/>
      <c r="D17" s="79">
        <v>32480</v>
      </c>
      <c r="E17"/>
      <c r="I17" s="130" t="s">
        <v>59</v>
      </c>
      <c r="J17" s="137">
        <v>4000</v>
      </c>
      <c r="K17" s="1">
        <f>J17</f>
        <v>4000</v>
      </c>
      <c r="M17" s="3"/>
      <c r="N17" s="2"/>
    </row>
    <row r="18" spans="1:17" x14ac:dyDescent="0.3">
      <c r="B18" s="70" t="s">
        <v>317</v>
      </c>
      <c r="C18" s="69"/>
      <c r="D18" s="98">
        <f>3886</f>
        <v>3886</v>
      </c>
      <c r="E18"/>
      <c r="G18" s="8"/>
      <c r="I18" s="130" t="s">
        <v>61</v>
      </c>
      <c r="J18" s="137">
        <v>3000</v>
      </c>
      <c r="K18" s="1">
        <f>J18</f>
        <v>3000</v>
      </c>
      <c r="N18" s="2"/>
    </row>
    <row r="19" spans="1:17" x14ac:dyDescent="0.3">
      <c r="B19" s="65" t="s">
        <v>214</v>
      </c>
      <c r="C19" s="64"/>
      <c r="D19" s="79"/>
      <c r="E19"/>
      <c r="I19" s="123" t="s">
        <v>299</v>
      </c>
      <c r="J19" s="125"/>
      <c r="L19" s="40"/>
      <c r="N19" s="2"/>
    </row>
    <row r="20" spans="1:17" x14ac:dyDescent="0.3">
      <c r="B20" s="70" t="s">
        <v>280</v>
      </c>
      <c r="C20" s="69">
        <v>4172.1099999999997</v>
      </c>
      <c r="D20" s="98"/>
      <c r="E20"/>
      <c r="I20" s="130" t="s">
        <v>267</v>
      </c>
      <c r="J20" s="137">
        <v>1500</v>
      </c>
      <c r="K20" s="1">
        <f>J20</f>
        <v>1500</v>
      </c>
      <c r="N20" s="2"/>
    </row>
    <row r="21" spans="1:17" x14ac:dyDescent="0.3">
      <c r="B21" s="65" t="s">
        <v>302</v>
      </c>
      <c r="C21" s="64"/>
      <c r="D21" s="79">
        <v>8952.2999999999993</v>
      </c>
      <c r="E21"/>
      <c r="I21" s="123" t="s">
        <v>301</v>
      </c>
      <c r="J21" s="137"/>
    </row>
    <row r="22" spans="1:17" x14ac:dyDescent="0.3">
      <c r="B22" s="70" t="s">
        <v>134</v>
      </c>
      <c r="C22" s="69"/>
      <c r="D22" s="98">
        <v>2033</v>
      </c>
      <c r="E22"/>
      <c r="I22" s="130" t="s">
        <v>62</v>
      </c>
      <c r="J22" s="137">
        <v>1950</v>
      </c>
    </row>
    <row r="23" spans="1:17" x14ac:dyDescent="0.3">
      <c r="B23" s="97" t="s">
        <v>303</v>
      </c>
      <c r="C23" s="64"/>
      <c r="D23" s="79"/>
      <c r="E23"/>
      <c r="I23" s="130" t="s">
        <v>304</v>
      </c>
      <c r="J23" s="137">
        <v>3500</v>
      </c>
      <c r="K23" s="3"/>
    </row>
    <row r="24" spans="1:17" x14ac:dyDescent="0.3">
      <c r="A24" t="s">
        <v>305</v>
      </c>
      <c r="B24" s="70" t="s">
        <v>175</v>
      </c>
      <c r="C24" s="69"/>
      <c r="D24" s="98">
        <v>8129.69</v>
      </c>
      <c r="E24"/>
      <c r="G24" s="8"/>
      <c r="I24" s="123" t="s">
        <v>306</v>
      </c>
      <c r="J24" s="137">
        <v>2800</v>
      </c>
      <c r="K24" s="1">
        <f>J25</f>
        <v>3500</v>
      </c>
    </row>
    <row r="25" spans="1:17" x14ac:dyDescent="0.3">
      <c r="B25" s="95" t="s">
        <v>318</v>
      </c>
      <c r="C25" s="94">
        <v>1783</v>
      </c>
      <c r="D25" s="86"/>
      <c r="E25"/>
      <c r="I25" s="130" t="s">
        <v>19</v>
      </c>
      <c r="J25" s="137">
        <v>3500</v>
      </c>
      <c r="K25" s="1">
        <f>J26</f>
        <v>0</v>
      </c>
    </row>
    <row r="26" spans="1:17" s="1" customFormat="1" x14ac:dyDescent="0.3">
      <c r="A26"/>
      <c r="B26" s="70" t="s">
        <v>308</v>
      </c>
      <c r="C26" s="69">
        <f>3596</f>
        <v>3596</v>
      </c>
      <c r="D26" s="98"/>
      <c r="E26"/>
      <c r="F26" s="8"/>
      <c r="H26" s="8"/>
      <c r="I26" s="123"/>
      <c r="J26" s="137"/>
      <c r="K26" s="3">
        <f>SUM(K17:K25)</f>
        <v>12000</v>
      </c>
      <c r="N26"/>
      <c r="Q26"/>
    </row>
    <row r="27" spans="1:17" s="1" customFormat="1" x14ac:dyDescent="0.3">
      <c r="A27"/>
      <c r="B27" s="65" t="s">
        <v>283</v>
      </c>
      <c r="C27" s="72"/>
      <c r="D27" s="86"/>
      <c r="E27"/>
      <c r="F27" s="8"/>
      <c r="H27" s="8"/>
      <c r="I27" s="131"/>
      <c r="J27" s="132">
        <f>SUM(J16:J26)</f>
        <v>20250</v>
      </c>
      <c r="L27"/>
      <c r="N27"/>
      <c r="Q27"/>
    </row>
    <row r="28" spans="1:17" s="1" customFormat="1" x14ac:dyDescent="0.3">
      <c r="A28"/>
      <c r="B28" s="70" t="s">
        <v>137</v>
      </c>
      <c r="C28" s="69"/>
      <c r="D28" s="98">
        <v>60000</v>
      </c>
      <c r="E28"/>
      <c r="F28" s="1">
        <f>47000</f>
        <v>47000</v>
      </c>
      <c r="H28" s="8"/>
      <c r="I28" t="s">
        <v>143</v>
      </c>
      <c r="J28" s="44">
        <v>4750</v>
      </c>
      <c r="L28" s="40"/>
      <c r="N28"/>
      <c r="Q28"/>
    </row>
    <row r="29" spans="1:17" s="1" customFormat="1" x14ac:dyDescent="0.3">
      <c r="B29" s="65" t="s">
        <v>219</v>
      </c>
      <c r="C29" s="64"/>
      <c r="D29" s="79">
        <v>15000</v>
      </c>
      <c r="E29"/>
      <c r="F29" s="8"/>
      <c r="G29" s="28"/>
      <c r="H29" s="8"/>
      <c r="I29"/>
      <c r="J29" s="3">
        <f>J27+J28</f>
        <v>25000</v>
      </c>
      <c r="L29"/>
      <c r="N29"/>
      <c r="Q29"/>
    </row>
    <row r="30" spans="1:17" s="1" customFormat="1" x14ac:dyDescent="0.3">
      <c r="B30" s="70" t="s">
        <v>114</v>
      </c>
      <c r="C30" s="69"/>
      <c r="D30" s="98"/>
      <c r="E30"/>
      <c r="F30" s="8"/>
      <c r="H30" s="8"/>
      <c r="L30"/>
      <c r="N30"/>
      <c r="Q30"/>
    </row>
    <row r="31" spans="1:17" s="1" customFormat="1" x14ac:dyDescent="0.3">
      <c r="B31" s="65" t="s">
        <v>260</v>
      </c>
      <c r="C31" s="72"/>
      <c r="D31" s="86"/>
      <c r="E31"/>
      <c r="F31" s="8"/>
      <c r="H31" s="8"/>
      <c r="I31">
        <f>85000+50000</f>
        <v>135000</v>
      </c>
      <c r="L31"/>
      <c r="N31">
        <v>165000</v>
      </c>
      <c r="Q31"/>
    </row>
    <row r="32" spans="1:17" s="1" customFormat="1" x14ac:dyDescent="0.3">
      <c r="B32" s="70" t="s">
        <v>11</v>
      </c>
      <c r="C32" s="69">
        <f>14592.86+11860.88</f>
        <v>26453.739999999998</v>
      </c>
      <c r="D32" s="98"/>
      <c r="E32"/>
      <c r="G32" s="42">
        <v>46170</v>
      </c>
      <c r="H32" s="8"/>
      <c r="L32"/>
      <c r="N32">
        <v>25000</v>
      </c>
      <c r="Q32"/>
    </row>
    <row r="33" spans="1:17" s="1" customFormat="1" x14ac:dyDescent="0.3">
      <c r="B33" s="65" t="s">
        <v>11</v>
      </c>
      <c r="C33" s="72"/>
      <c r="D33" s="86"/>
      <c r="E33"/>
      <c r="F33" s="8">
        <f>14592.86</f>
        <v>14592.86</v>
      </c>
      <c r="G33" s="42">
        <v>46201</v>
      </c>
      <c r="H33" s="8"/>
      <c r="L33"/>
      <c r="N33">
        <f>N31-N32</f>
        <v>140000</v>
      </c>
      <c r="Q33"/>
    </row>
    <row r="34" spans="1:17" s="1" customFormat="1" x14ac:dyDescent="0.3">
      <c r="B34" s="70" t="s">
        <v>223</v>
      </c>
      <c r="C34" s="69"/>
      <c r="D34" s="98"/>
      <c r="E34"/>
      <c r="F34" s="8"/>
      <c r="H34" s="22"/>
      <c r="L34"/>
      <c r="N34"/>
      <c r="Q34"/>
    </row>
    <row r="35" spans="1:17" s="1" customFormat="1" x14ac:dyDescent="0.3">
      <c r="B35" s="65" t="s">
        <v>194</v>
      </c>
      <c r="C35" s="94">
        <v>15370</v>
      </c>
      <c r="D35" s="86">
        <v>15370</v>
      </c>
      <c r="E35"/>
      <c r="F35" s="8"/>
      <c r="H35" s="22"/>
      <c r="L35"/>
      <c r="N35"/>
      <c r="Q35"/>
    </row>
    <row r="36" spans="1:17" s="1" customFormat="1" x14ac:dyDescent="0.3">
      <c r="B36" s="70" t="s">
        <v>319</v>
      </c>
      <c r="C36" s="69">
        <v>15000</v>
      </c>
      <c r="D36" s="98"/>
      <c r="E36"/>
      <c r="F36" s="8"/>
      <c r="H36" s="22"/>
      <c r="L36"/>
      <c r="N36"/>
      <c r="Q36"/>
    </row>
    <row r="37" spans="1:17" s="1" customFormat="1" x14ac:dyDescent="0.3">
      <c r="B37" s="65" t="s">
        <v>319</v>
      </c>
      <c r="C37" s="94">
        <v>5000</v>
      </c>
      <c r="D37" s="86"/>
      <c r="E37"/>
      <c r="F37" s="8"/>
      <c r="H37" s="22"/>
      <c r="L37"/>
      <c r="N37"/>
      <c r="Q37"/>
    </row>
    <row r="38" spans="1:17" s="1" customFormat="1" x14ac:dyDescent="0.3">
      <c r="B38" s="70" t="s">
        <v>143</v>
      </c>
      <c r="C38" s="69"/>
      <c r="D38" s="98"/>
      <c r="E38"/>
      <c r="F38" s="8"/>
      <c r="G38" s="8"/>
      <c r="H38" s="22"/>
      <c r="I38" s="257" t="s">
        <v>431</v>
      </c>
      <c r="L38"/>
      <c r="N38"/>
      <c r="Q38"/>
    </row>
    <row r="39" spans="1:17" s="1" customFormat="1" x14ac:dyDescent="0.3">
      <c r="B39" s="65" t="s">
        <v>102</v>
      </c>
      <c r="C39" s="72"/>
      <c r="D39" s="86"/>
      <c r="E39"/>
      <c r="F39" s="8"/>
      <c r="H39" s="22"/>
      <c r="I39" s="242" t="s">
        <v>314</v>
      </c>
      <c r="J39" s="217"/>
      <c r="K39" s="217"/>
      <c r="L39" s="229"/>
      <c r="N39"/>
      <c r="Q39"/>
    </row>
    <row r="40" spans="1:17" s="1" customFormat="1" x14ac:dyDescent="0.3">
      <c r="B40" s="70" t="s">
        <v>243</v>
      </c>
      <c r="C40" s="69"/>
      <c r="D40" s="98"/>
      <c r="E40"/>
      <c r="F40" s="8"/>
      <c r="H40" s="22"/>
      <c r="I40" s="222" t="s">
        <v>320</v>
      </c>
      <c r="J40" s="121"/>
      <c r="K40" s="121"/>
      <c r="L40" s="230"/>
      <c r="N40" s="210" t="s">
        <v>432</v>
      </c>
      <c r="Q40"/>
    </row>
    <row r="41" spans="1:17" x14ac:dyDescent="0.3">
      <c r="A41" s="1"/>
      <c r="B41" s="65" t="s">
        <v>270</v>
      </c>
      <c r="C41" s="64"/>
      <c r="D41" s="79">
        <v>77738.850000000006</v>
      </c>
      <c r="E41"/>
      <c r="H41" s="22"/>
      <c r="I41" s="208" t="s">
        <v>321</v>
      </c>
      <c r="J41" s="121">
        <v>12800</v>
      </c>
      <c r="K41" s="188">
        <v>12800</v>
      </c>
      <c r="L41" s="230"/>
      <c r="N41" s="258" t="s">
        <v>284</v>
      </c>
    </row>
    <row r="42" spans="1:17" x14ac:dyDescent="0.3">
      <c r="A42" s="1"/>
      <c r="B42" s="70" t="s">
        <v>271</v>
      </c>
      <c r="C42" s="69">
        <v>31215.599999999999</v>
      </c>
      <c r="D42" s="98"/>
      <c r="E42"/>
      <c r="H42" s="22"/>
      <c r="I42" s="208" t="s">
        <v>322</v>
      </c>
      <c r="J42" s="121">
        <v>12800</v>
      </c>
      <c r="K42" s="188">
        <v>12800</v>
      </c>
      <c r="L42" s="230"/>
      <c r="N42" s="259" t="s">
        <v>284</v>
      </c>
    </row>
    <row r="43" spans="1:17" x14ac:dyDescent="0.3">
      <c r="A43" s="1"/>
      <c r="B43" s="96" t="s">
        <v>271</v>
      </c>
      <c r="C43" s="94">
        <f>9802</f>
        <v>9802</v>
      </c>
      <c r="D43" s="86"/>
      <c r="E43"/>
      <c r="H43" s="22"/>
      <c r="I43" s="208" t="s">
        <v>323</v>
      </c>
      <c r="J43" s="121">
        <v>19450</v>
      </c>
      <c r="K43" s="188">
        <v>19450</v>
      </c>
      <c r="L43" s="230"/>
      <c r="N43" s="259" t="s">
        <v>284</v>
      </c>
    </row>
    <row r="44" spans="1:17" x14ac:dyDescent="0.3">
      <c r="A44" s="1"/>
      <c r="B44" s="70" t="s">
        <v>271</v>
      </c>
      <c r="C44" s="69">
        <f>16.9*1.16*700</f>
        <v>13722.799999999997</v>
      </c>
      <c r="D44" s="98"/>
      <c r="E44"/>
      <c r="H44" s="22"/>
      <c r="I44" s="208" t="s">
        <v>324</v>
      </c>
      <c r="J44" s="235">
        <v>17800</v>
      </c>
      <c r="K44" s="188">
        <v>17800</v>
      </c>
      <c r="L44" s="230"/>
      <c r="M44" s="8"/>
      <c r="N44" s="260" t="s">
        <v>284</v>
      </c>
      <c r="O44" s="8"/>
      <c r="P44" s="8"/>
    </row>
    <row r="45" spans="1:17" x14ac:dyDescent="0.3">
      <c r="A45" s="1"/>
      <c r="B45" s="65" t="s">
        <v>241</v>
      </c>
      <c r="C45" s="94">
        <v>6086.26</v>
      </c>
      <c r="D45" s="86"/>
      <c r="E45"/>
      <c r="H45" s="22"/>
      <c r="I45" s="208" t="s">
        <v>325</v>
      </c>
      <c r="J45" s="121">
        <v>9850</v>
      </c>
      <c r="K45" s="188">
        <v>9850</v>
      </c>
      <c r="L45" s="243"/>
    </row>
    <row r="46" spans="1:17" x14ac:dyDescent="0.3">
      <c r="A46" s="1"/>
      <c r="B46" s="70" t="s">
        <v>48</v>
      </c>
      <c r="C46" s="69"/>
      <c r="D46" s="98"/>
      <c r="E46"/>
      <c r="H46" s="22"/>
      <c r="I46" s="208" t="s">
        <v>326</v>
      </c>
      <c r="J46" s="121">
        <v>5500</v>
      </c>
      <c r="K46" s="188">
        <v>5500</v>
      </c>
      <c r="L46" s="255">
        <f>40000*1.16</f>
        <v>46400</v>
      </c>
    </row>
    <row r="47" spans="1:17" x14ac:dyDescent="0.3">
      <c r="A47" s="1"/>
      <c r="B47" s="65" t="s">
        <v>242</v>
      </c>
      <c r="C47" s="72"/>
      <c r="D47" s="86"/>
      <c r="E47"/>
      <c r="H47" s="22"/>
      <c r="I47" s="209"/>
      <c r="J47" s="219">
        <f>SUM(J41:J46)</f>
        <v>78200</v>
      </c>
      <c r="K47" s="219">
        <f>SUM(K41:K46)</f>
        <v>78200</v>
      </c>
      <c r="L47" s="231"/>
      <c r="N47" s="1">
        <f>J47*0.065</f>
        <v>5083</v>
      </c>
      <c r="O47" s="1" t="s">
        <v>327</v>
      </c>
    </row>
    <row r="48" spans="1:17" s="1" customFormat="1" x14ac:dyDescent="0.3">
      <c r="B48" s="70" t="s">
        <v>132</v>
      </c>
      <c r="C48" s="69"/>
      <c r="D48" s="98"/>
      <c r="E48"/>
      <c r="F48" s="8"/>
      <c r="H48" s="22"/>
      <c r="N48"/>
      <c r="Q48"/>
    </row>
    <row r="49" spans="1:17" s="1" customFormat="1" x14ac:dyDescent="0.3">
      <c r="B49" s="65" t="s">
        <v>49</v>
      </c>
      <c r="C49" s="72"/>
      <c r="D49" s="86"/>
      <c r="E49"/>
      <c r="F49" s="28">
        <v>49247.8</v>
      </c>
      <c r="H49" s="22"/>
      <c r="I49" s="218" t="s">
        <v>429</v>
      </c>
      <c r="N49"/>
      <c r="Q49"/>
    </row>
    <row r="50" spans="1:17" s="1" customFormat="1" x14ac:dyDescent="0.3">
      <c r="B50" s="70" t="s">
        <v>289</v>
      </c>
      <c r="C50" s="69"/>
      <c r="D50" s="98"/>
      <c r="E50"/>
      <c r="F50" s="8"/>
      <c r="G50" s="8"/>
      <c r="I50" s="242" t="s">
        <v>320</v>
      </c>
      <c r="J50" s="241" t="s">
        <v>163</v>
      </c>
      <c r="K50" s="241" t="s">
        <v>328</v>
      </c>
      <c r="L50" s="241" t="s">
        <v>329</v>
      </c>
      <c r="M50" s="241" t="s">
        <v>164</v>
      </c>
      <c r="N50" s="204"/>
      <c r="Q50"/>
    </row>
    <row r="51" spans="1:17" s="1" customFormat="1" x14ac:dyDescent="0.3">
      <c r="B51" s="65" t="s">
        <v>182</v>
      </c>
      <c r="C51" s="94">
        <v>11000</v>
      </c>
      <c r="D51" s="86"/>
      <c r="E51"/>
      <c r="F51" s="8"/>
      <c r="G51" s="8"/>
      <c r="I51" s="208" t="s">
        <v>330</v>
      </c>
      <c r="J51" s="121">
        <v>4000</v>
      </c>
      <c r="K51" s="121" t="s">
        <v>331</v>
      </c>
      <c r="L51" s="121">
        <f>16.9*1.16</f>
        <v>19.603999999999996</v>
      </c>
      <c r="M51" s="121">
        <f>J51*L51</f>
        <v>78415.999999999985</v>
      </c>
      <c r="N51" s="255">
        <v>231839.34</v>
      </c>
    </row>
    <row r="52" spans="1:17" s="1" customFormat="1" x14ac:dyDescent="0.3">
      <c r="A52" s="8"/>
      <c r="B52" s="69" t="s">
        <v>316</v>
      </c>
      <c r="C52" s="69">
        <v>13428</v>
      </c>
      <c r="D52" s="98"/>
      <c r="E52"/>
      <c r="F52" s="8"/>
      <c r="H52" s="22"/>
      <c r="I52" s="208" t="s">
        <v>332</v>
      </c>
      <c r="J52" s="121">
        <v>4000</v>
      </c>
      <c r="K52" s="121" t="s">
        <v>331</v>
      </c>
      <c r="L52" s="121">
        <f>15.75*1.16</f>
        <v>18.27</v>
      </c>
      <c r="M52" s="121">
        <f>J52*L52</f>
        <v>73080</v>
      </c>
      <c r="N52" s="255"/>
      <c r="Q52"/>
    </row>
    <row r="53" spans="1:17" s="1" customFormat="1" x14ac:dyDescent="0.3">
      <c r="A53"/>
      <c r="B53" s="65"/>
      <c r="C53" s="67">
        <f>SUM(C7:C52)</f>
        <v>314720.90999999997</v>
      </c>
      <c r="D53" s="100">
        <f>SUM(D7:D52)</f>
        <v>263589.83999999997</v>
      </c>
      <c r="E53"/>
      <c r="F53" s="15">
        <f>SUM(F7:F52)</f>
        <v>110840.66</v>
      </c>
      <c r="G53" s="15"/>
      <c r="H53" s="22"/>
      <c r="I53" s="208" t="s">
        <v>333</v>
      </c>
      <c r="J53" s="121">
        <v>7000</v>
      </c>
      <c r="K53" s="121" t="s">
        <v>331</v>
      </c>
      <c r="L53" s="121">
        <f>9.9*1.16</f>
        <v>11.484</v>
      </c>
      <c r="M53" s="121">
        <f>J53*L53</f>
        <v>80388</v>
      </c>
      <c r="N53" s="255"/>
    </row>
    <row r="54" spans="1:17" s="1" customFormat="1" x14ac:dyDescent="0.3">
      <c r="A54"/>
      <c r="B54" s="70"/>
      <c r="C54" s="91"/>
      <c r="D54" s="113"/>
      <c r="E54"/>
      <c r="F54" s="38"/>
      <c r="H54" s="8"/>
      <c r="I54" s="208" t="s">
        <v>334</v>
      </c>
      <c r="J54" s="121">
        <v>40</v>
      </c>
      <c r="K54" s="121" t="s">
        <v>331</v>
      </c>
      <c r="L54" s="121">
        <f>130*1.16</f>
        <v>150.79999999999998</v>
      </c>
      <c r="M54" s="121">
        <f>J54*L54</f>
        <v>6031.9999999999991</v>
      </c>
      <c r="N54" s="261">
        <v>34546.99</v>
      </c>
    </row>
    <row r="55" spans="1:17" s="1" customFormat="1" x14ac:dyDescent="0.3">
      <c r="A55"/>
      <c r="B55" s="65"/>
      <c r="C55" s="88"/>
      <c r="D55" s="114"/>
      <c r="E55"/>
      <c r="F55" s="38"/>
      <c r="H55" s="8"/>
      <c r="I55" s="209" t="s">
        <v>335</v>
      </c>
      <c r="J55" s="191">
        <v>100</v>
      </c>
      <c r="K55" s="191" t="s">
        <v>331</v>
      </c>
      <c r="L55" s="191">
        <v>285.14999999999998</v>
      </c>
      <c r="M55" s="191">
        <f>J55*L55</f>
        <v>28514.999999999996</v>
      </c>
      <c r="N55" s="262"/>
    </row>
    <row r="56" spans="1:17" x14ac:dyDescent="0.3">
      <c r="B56" s="69"/>
      <c r="C56" s="69"/>
      <c r="D56" s="98"/>
      <c r="E56"/>
      <c r="F56" s="38"/>
      <c r="L56" s="43"/>
    </row>
    <row r="57" spans="1:17" x14ac:dyDescent="0.3">
      <c r="B57" s="64"/>
      <c r="C57" s="72"/>
      <c r="D57" s="86"/>
      <c r="E57"/>
      <c r="F57" s="38"/>
      <c r="L57" s="43"/>
      <c r="M57" s="3">
        <f>SUM(M51:M56)</f>
        <v>266431</v>
      </c>
      <c r="N57" s="40">
        <f>SUM(N51:N56)</f>
        <v>266386.33</v>
      </c>
    </row>
    <row r="58" spans="1:17" s="1" customFormat="1" x14ac:dyDescent="0.3">
      <c r="B58" s="70"/>
      <c r="C58" s="69"/>
      <c r="D58" s="98"/>
      <c r="E58"/>
      <c r="F58" s="38"/>
      <c r="H58" s="8"/>
      <c r="I58" s="207" t="s">
        <v>432</v>
      </c>
      <c r="N58" s="40">
        <f>K47+N57</f>
        <v>344586.33</v>
      </c>
      <c r="Q58"/>
    </row>
    <row r="59" spans="1:17" s="1" customFormat="1" x14ac:dyDescent="0.3">
      <c r="A59"/>
      <c r="B59" s="239" t="s">
        <v>432</v>
      </c>
      <c r="C59" s="238"/>
      <c r="D59" s="263"/>
      <c r="E59"/>
      <c r="F59" s="38"/>
      <c r="H59" s="8"/>
      <c r="I59" s="186"/>
      <c r="J59" s="204">
        <f>J47</f>
        <v>78200</v>
      </c>
      <c r="N59"/>
      <c r="Q59"/>
    </row>
    <row r="60" spans="1:17" s="1" customFormat="1" x14ac:dyDescent="0.3">
      <c r="B60" s="70" t="s">
        <v>226</v>
      </c>
      <c r="C60" s="69" t="s">
        <v>227</v>
      </c>
      <c r="D60" s="69"/>
      <c r="E60"/>
      <c r="F60" s="38"/>
      <c r="H60" s="8"/>
      <c r="I60" s="208"/>
      <c r="J60" s="196">
        <f>M57</f>
        <v>266431</v>
      </c>
      <c r="N60"/>
      <c r="Q60"/>
    </row>
    <row r="61" spans="1:17" s="1" customFormat="1" x14ac:dyDescent="0.3">
      <c r="B61" s="65" t="s">
        <v>228</v>
      </c>
      <c r="C61" s="64" t="s">
        <v>227</v>
      </c>
      <c r="D61" s="64"/>
      <c r="E61"/>
      <c r="F61" s="8"/>
      <c r="H61" s="8"/>
      <c r="I61" s="209" t="s">
        <v>336</v>
      </c>
      <c r="J61" s="205">
        <f>SUM(J59:J60)</f>
        <v>344631</v>
      </c>
      <c r="N61"/>
      <c r="Q61"/>
    </row>
    <row r="62" spans="1:17" s="1" customFormat="1" x14ac:dyDescent="0.3">
      <c r="B62" s="70" t="s">
        <v>229</v>
      </c>
      <c r="C62" s="69" t="s">
        <v>227</v>
      </c>
      <c r="D62" s="69">
        <v>1250</v>
      </c>
      <c r="E62"/>
      <c r="F62" s="8"/>
      <c r="H62" s="8"/>
      <c r="N62"/>
      <c r="Q62"/>
    </row>
    <row r="63" spans="1:17" s="1" customFormat="1" x14ac:dyDescent="0.3">
      <c r="A63"/>
      <c r="B63" s="65" t="s">
        <v>230</v>
      </c>
      <c r="C63" s="64" t="s">
        <v>227</v>
      </c>
      <c r="D63" s="64">
        <v>1250</v>
      </c>
      <c r="E63"/>
      <c r="F63" s="8"/>
      <c r="H63" s="8"/>
      <c r="N63"/>
      <c r="Q63"/>
    </row>
    <row r="64" spans="1:17" x14ac:dyDescent="0.3">
      <c r="B64" s="70" t="s">
        <v>231</v>
      </c>
      <c r="C64" s="69" t="s">
        <v>232</v>
      </c>
      <c r="D64" s="69">
        <v>6250</v>
      </c>
      <c r="E64"/>
      <c r="L64" s="224" t="s">
        <v>430</v>
      </c>
    </row>
    <row r="65" spans="2:13" x14ac:dyDescent="0.3">
      <c r="B65" s="65" t="s">
        <v>233</v>
      </c>
      <c r="C65" s="64" t="s">
        <v>232</v>
      </c>
      <c r="D65" s="64"/>
      <c r="E65"/>
      <c r="L65" s="264">
        <f>M65/1.16</f>
        <v>297095.68965517241</v>
      </c>
      <c r="M65" s="266">
        <f>J47+M57</f>
        <v>344631</v>
      </c>
    </row>
    <row r="66" spans="2:13" x14ac:dyDescent="0.3">
      <c r="B66" s="140"/>
      <c r="C66" s="141"/>
      <c r="D66" s="142"/>
      <c r="E66"/>
      <c r="L66" s="265">
        <f>L65*0.16</f>
        <v>47535.310344827587</v>
      </c>
      <c r="M66" s="196"/>
    </row>
    <row r="67" spans="2:13" x14ac:dyDescent="0.3">
      <c r="E67"/>
      <c r="L67" s="209">
        <f>SUM(L65:L66)</f>
        <v>344631</v>
      </c>
      <c r="M67" s="197">
        <f>M65*0.065</f>
        <v>22401.014999999999</v>
      </c>
    </row>
    <row r="68" spans="2:13" x14ac:dyDescent="0.3">
      <c r="E68"/>
      <c r="L68" s="1"/>
    </row>
    <row r="69" spans="2:13" x14ac:dyDescent="0.3">
      <c r="E69"/>
    </row>
    <row r="70" spans="2:13" x14ac:dyDescent="0.3">
      <c r="B70" t="s">
        <v>194</v>
      </c>
      <c r="E70"/>
    </row>
    <row r="71" spans="2:13" x14ac:dyDescent="0.3">
      <c r="B71" t="s">
        <v>317</v>
      </c>
      <c r="E71"/>
    </row>
  </sheetData>
  <mergeCells count="2">
    <mergeCell ref="N54:N55"/>
    <mergeCell ref="Q1:R1"/>
  </mergeCells>
  <conditionalFormatting sqref="R6">
    <cfRule type="cellIs" dxfId="1" priority="1" operator="lessThan">
      <formula>0</formula>
    </cfRule>
  </conditionalFormatting>
  <conditionalFormatting sqref="R6">
    <cfRule type="cellIs" dxfId="0" priority="2" operator="greater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Dashboard</vt:lpstr>
      <vt:lpstr>Hoja1</vt:lpstr>
      <vt:lpstr>Pivots</vt:lpstr>
      <vt:lpstr>BD Gastos</vt:lpstr>
      <vt:lpstr>10-15 NOV</vt:lpstr>
      <vt:lpstr>17-22 NOV</vt:lpstr>
      <vt:lpstr>24-29 NOV</vt:lpstr>
      <vt:lpstr>01-06 Dic</vt:lpstr>
      <vt:lpstr>08-13 Dic</vt:lpstr>
      <vt:lpstr>15-20 Dic</vt:lpstr>
      <vt:lpstr>21-27 Dic</vt:lpstr>
      <vt:lpstr>29 Dic 03 Ene</vt:lpstr>
      <vt:lpstr>05 10 Ene</vt:lpstr>
      <vt:lpstr>11 17 Ene</vt:lpstr>
      <vt:lpstr>19 24 Ene</vt:lpstr>
      <vt:lpstr>26 31 Ene</vt:lpstr>
      <vt:lpstr>01 07 Feb</vt:lpstr>
      <vt:lpstr>09 14 Feb</vt:lpstr>
      <vt:lpstr>16 21 Feb</vt:lpstr>
      <vt:lpstr>23 28 Feb</vt:lpstr>
      <vt:lpstr>02 07 Mar</vt:lpstr>
      <vt:lpstr>09-14 Mar</vt:lpstr>
      <vt:lpstr>16 21 Mar</vt:lpstr>
      <vt:lpstr>23 28 Mar</vt:lpstr>
      <vt:lpstr>30 Mar 04 Abril</vt:lpstr>
      <vt:lpstr>06 11 Abril</vt:lpstr>
      <vt:lpstr>13 18 Abril</vt:lpstr>
      <vt:lpstr>20 25 Abril</vt:lpstr>
      <vt:lpstr>27 Abril 02 Mayo</vt:lpstr>
      <vt:lpstr>04 09 Mayo</vt:lpstr>
      <vt:lpstr>11 16 Mayo</vt:lpstr>
      <vt:lpstr>18 23 Mayo</vt:lpstr>
      <vt:lpstr>25 30 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Alvarado Ruiz</dc:creator>
  <cp:keywords/>
  <dc:description/>
  <cp:lastModifiedBy>Jose Luis Almendarez Rodriguez</cp:lastModifiedBy>
  <cp:revision/>
  <dcterms:created xsi:type="dcterms:W3CDTF">2025-06-03T16:19:09Z</dcterms:created>
  <dcterms:modified xsi:type="dcterms:W3CDTF">2026-06-10T18:31:55Z</dcterms:modified>
  <cp:category/>
  <cp:contentStatus/>
</cp:coreProperties>
</file>