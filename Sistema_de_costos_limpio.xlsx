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ll\OneDrive\Documentos\Clases ITESO\PAP\V2026\"/>
    </mc:Choice>
  </mc:AlternateContent>
  <xr:revisionPtr revIDLastSave="0" documentId="13_ncr:1_{65968E42-5F3F-4604-A634-9879CCCD37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DETERMIN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3" i="1" l="1"/>
  <c r="L23" i="1"/>
  <c r="J23" i="1"/>
  <c r="I23" i="1"/>
  <c r="H23" i="1"/>
  <c r="O23" i="1"/>
  <c r="N22" i="1"/>
  <c r="L22" i="1"/>
  <c r="J22" i="1"/>
  <c r="I22" i="1"/>
  <c r="H22" i="1"/>
  <c r="O22" i="1"/>
  <c r="N21" i="1"/>
  <c r="L21" i="1"/>
  <c r="J21" i="1"/>
  <c r="I21" i="1"/>
  <c r="H21" i="1"/>
  <c r="O21" i="1"/>
  <c r="O20" i="1"/>
  <c r="L20" i="1"/>
  <c r="K20" i="1"/>
  <c r="I20" i="1"/>
  <c r="H20" i="1"/>
  <c r="O19" i="1"/>
  <c r="N19" i="1"/>
  <c r="L19" i="1"/>
  <c r="K19" i="1"/>
  <c r="I19" i="1"/>
  <c r="H19" i="1"/>
  <c r="J19" i="1"/>
  <c r="O18" i="1"/>
  <c r="L18" i="1"/>
  <c r="K18" i="1"/>
  <c r="I18" i="1"/>
  <c r="H18" i="1"/>
  <c r="N18" i="1"/>
  <c r="O17" i="1"/>
  <c r="L17" i="1"/>
  <c r="K17" i="1"/>
  <c r="I17" i="1"/>
  <c r="H17" i="1"/>
  <c r="O16" i="1"/>
  <c r="N16" i="1"/>
  <c r="L16" i="1"/>
  <c r="K16" i="1"/>
  <c r="J16" i="1"/>
  <c r="I16" i="1"/>
  <c r="H16" i="1"/>
  <c r="O15" i="1"/>
  <c r="N15" i="1"/>
  <c r="L15" i="1"/>
  <c r="K15" i="1"/>
  <c r="J15" i="1"/>
  <c r="I15" i="1"/>
  <c r="M15" i="1" s="1"/>
  <c r="H15" i="1"/>
  <c r="O14" i="1"/>
  <c r="N14" i="1"/>
  <c r="L14" i="1"/>
  <c r="K14" i="1"/>
  <c r="I14" i="1"/>
  <c r="H14" i="1"/>
  <c r="J14" i="1"/>
  <c r="N13" i="1"/>
  <c r="L13" i="1"/>
  <c r="J13" i="1"/>
  <c r="I13" i="1"/>
  <c r="H13" i="1"/>
  <c r="K13" i="1"/>
  <c r="N12" i="1"/>
  <c r="L12" i="1"/>
  <c r="K12" i="1"/>
  <c r="I12" i="1"/>
  <c r="H12" i="1"/>
  <c r="O12" i="1"/>
  <c r="N11" i="1"/>
  <c r="L11" i="1"/>
  <c r="K11" i="1"/>
  <c r="I11" i="1"/>
  <c r="H11" i="1"/>
  <c r="O11" i="1"/>
  <c r="N10" i="1"/>
  <c r="L10" i="1"/>
  <c r="K10" i="1"/>
  <c r="I10" i="1"/>
  <c r="H10" i="1"/>
  <c r="O10" i="1"/>
  <c r="N9" i="1"/>
  <c r="L9" i="1"/>
  <c r="K9" i="1"/>
  <c r="I9" i="1"/>
  <c r="H9" i="1"/>
  <c r="O9" i="1"/>
  <c r="N8" i="1"/>
  <c r="L8" i="1"/>
  <c r="K8" i="1"/>
  <c r="I8" i="1"/>
  <c r="H8" i="1"/>
  <c r="J8" i="1"/>
  <c r="N7" i="1"/>
  <c r="L7" i="1"/>
  <c r="J7" i="1"/>
  <c r="I7" i="1"/>
  <c r="H7" i="1"/>
  <c r="K7" i="1"/>
  <c r="N6" i="1"/>
  <c r="L6" i="1"/>
  <c r="J6" i="1"/>
  <c r="I6" i="1"/>
  <c r="H6" i="1"/>
  <c r="O6" i="1"/>
  <c r="O5" i="1"/>
  <c r="L5" i="1"/>
  <c r="K5" i="1"/>
  <c r="J5" i="1"/>
  <c r="H5" i="1"/>
  <c r="I5" i="1"/>
  <c r="O4" i="1"/>
  <c r="N4" i="1"/>
  <c r="L4" i="1"/>
  <c r="K4" i="1"/>
  <c r="J4" i="1"/>
  <c r="I4" i="1"/>
  <c r="H4" i="1"/>
  <c r="O3" i="1"/>
  <c r="N3" i="1"/>
  <c r="L3" i="1"/>
  <c r="K3" i="1"/>
  <c r="J3" i="1"/>
  <c r="I3" i="1"/>
  <c r="M14" i="1" l="1"/>
  <c r="M16" i="1"/>
  <c r="L25" i="1"/>
  <c r="M4" i="1"/>
  <c r="J12" i="1"/>
  <c r="M12" i="1" s="1"/>
  <c r="M10" i="1"/>
  <c r="J11" i="1"/>
  <c r="M11" i="1" s="1"/>
  <c r="M8" i="1"/>
  <c r="J9" i="1"/>
  <c r="M9" i="1" s="1"/>
  <c r="J10" i="1"/>
  <c r="M19" i="1"/>
  <c r="M7" i="1"/>
  <c r="N17" i="1"/>
  <c r="J17" i="1"/>
  <c r="J20" i="1"/>
  <c r="M20" i="1" s="1"/>
  <c r="N20" i="1"/>
  <c r="D25" i="1"/>
  <c r="M5" i="1"/>
  <c r="M13" i="1"/>
  <c r="I25" i="1"/>
  <c r="K21" i="1"/>
  <c r="M21" i="1" s="1"/>
  <c r="K22" i="1"/>
  <c r="M22" i="1" s="1"/>
  <c r="J18" i="1"/>
  <c r="M18" i="1" s="1"/>
  <c r="K23" i="1"/>
  <c r="M23" i="1" s="1"/>
  <c r="O7" i="1"/>
  <c r="O13" i="1"/>
  <c r="O8" i="1"/>
  <c r="K6" i="1"/>
  <c r="M6" i="1" s="1"/>
  <c r="H3" i="1"/>
  <c r="N5" i="1"/>
  <c r="N25" i="1" l="1"/>
  <c r="J32" i="1" s="1"/>
  <c r="L32" i="1" s="1"/>
  <c r="J25" i="1"/>
  <c r="C29" i="1" s="1"/>
  <c r="O25" i="1"/>
  <c r="J36" i="1" s="1"/>
  <c r="J46" i="1" s="1"/>
  <c r="M3" i="1"/>
  <c r="H25" i="1"/>
  <c r="M17" i="1"/>
  <c r="K25" i="1"/>
  <c r="C32" i="1" s="1"/>
  <c r="C46" i="1" s="1"/>
  <c r="L36" i="1" l="1"/>
  <c r="C31" i="1"/>
  <c r="C30" i="1"/>
  <c r="C28" i="1"/>
  <c r="M25" i="1"/>
  <c r="C44" i="1" l="1"/>
  <c r="C33" i="1"/>
  <c r="C34" i="1" l="1"/>
  <c r="C35" i="1" l="1"/>
  <c r="C36" i="1"/>
  <c r="C37" i="1" l="1"/>
  <c r="C48" i="1"/>
  <c r="C39" i="1" l="1"/>
  <c r="J31" i="1"/>
  <c r="J33" i="1" s="1"/>
  <c r="C43" i="1"/>
  <c r="C45" i="1" s="1"/>
  <c r="C47" i="1" s="1"/>
  <c r="C49" i="1" s="1"/>
  <c r="L31" i="1" l="1"/>
  <c r="L33" i="1"/>
  <c r="J39" i="1" s="1"/>
  <c r="J43" i="1" l="1"/>
  <c r="J44" i="1"/>
  <c r="J45" i="1" l="1"/>
  <c r="J47" i="1" s="1"/>
</calcChain>
</file>

<file path=xl/sharedStrings.xml><?xml version="1.0" encoding="utf-8"?>
<sst xmlns="http://schemas.openxmlformats.org/spreadsheetml/2006/main" count="62" uniqueCount="49">
  <si>
    <t xml:space="preserve">DATOS </t>
  </si>
  <si>
    <t>GASTOS MENSUALES</t>
  </si>
  <si>
    <t>CLASIFICACION DE LOS COSTOS</t>
  </si>
  <si>
    <t>D/I</t>
  </si>
  <si>
    <t>FIJOS O VARIABLES</t>
  </si>
  <si>
    <t>MATERIA PRIMA</t>
  </si>
  <si>
    <t>MANO DE OBRA</t>
  </si>
  <si>
    <t>GASTOS INDIRECTOS</t>
  </si>
  <si>
    <t>GASTOS DE ADMINISTRACION</t>
  </si>
  <si>
    <t>GASTOS DE VENTA</t>
  </si>
  <si>
    <t>TOTAL</t>
  </si>
  <si>
    <t>VARIABLES</t>
  </si>
  <si>
    <t>FIJOS</t>
  </si>
  <si>
    <t>TOTALES</t>
  </si>
  <si>
    <t xml:space="preserve"> </t>
  </si>
  <si>
    <t>COSTO DE ADQUISICION</t>
  </si>
  <si>
    <t>PUNTO DE EQUILIBRIO EN PESOS</t>
  </si>
  <si>
    <t>COSTO DE TRANSFORMACION</t>
  </si>
  <si>
    <t>COSTO PRIMO</t>
  </si>
  <si>
    <t>Costo Unitario</t>
  </si>
  <si>
    <t>COSTO DE PRODUCCION</t>
  </si>
  <si>
    <t>INGRESOS</t>
  </si>
  <si>
    <t>COSTO DE OPERACIÓN</t>
  </si>
  <si>
    <t>COSTOS VARIABLES</t>
  </si>
  <si>
    <t>COSTO TOTAL</t>
  </si>
  <si>
    <t>CONTRIBUCIÓN MARGINAL</t>
  </si>
  <si>
    <t>MARGEN DE CONTRIBUCION  (35%)</t>
  </si>
  <si>
    <t>UNIDADES</t>
  </si>
  <si>
    <t>IMPUESTO SOBRE LA RENTA  (ISR) 30%</t>
  </si>
  <si>
    <t>PARTICIPACION DE LAS UTILIDADES DE LOS TRABAJADORES (PTU) 10%</t>
  </si>
  <si>
    <t>COSTOS FIJOS TOTALES</t>
  </si>
  <si>
    <t>TOTAL DE INGRESOS</t>
  </si>
  <si>
    <t>PRECIO DE VENTA UNITARIO</t>
  </si>
  <si>
    <t>PUNTO DE EQUILIBRIO</t>
  </si>
  <si>
    <t>ESTADO DE RESULTADO</t>
  </si>
  <si>
    <t>COMPROBACIÓN</t>
  </si>
  <si>
    <t>MENOS</t>
  </si>
  <si>
    <t>COSTO DE VENTA (COSTO DE PRODUCCIÓN)</t>
  </si>
  <si>
    <t>IGUAL</t>
  </si>
  <si>
    <t>UTILIDAD BRUTA</t>
  </si>
  <si>
    <t>COSTOS DE OPERACIÓN</t>
  </si>
  <si>
    <t>COSTOS FIJOS</t>
  </si>
  <si>
    <t xml:space="preserve">IGUAL </t>
  </si>
  <si>
    <t>UTILIDAD NETA</t>
  </si>
  <si>
    <t>UTILIDAD</t>
  </si>
  <si>
    <t>ISR Y PTU (40%)</t>
  </si>
  <si>
    <t>UTILIDAD DESPUES DE IMPUESTOS</t>
  </si>
  <si>
    <t xml:space="preserve">Determinar el presupuesto de costos para elaborar </t>
  </si>
  <si>
    <t>TOTAL DE UNIDADES EN EL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</si>
</sst>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6" formatCode="_-&quot;$&quot;* #,##0.00_-;\-&quot;$&quot;* #,##0.00_-;_-&quot;$&quot;* &quot;-&quot;??_-;_-@"/>
    <numFmt numFmtId="167" formatCode="_-&quot;$&quot;* #,##0_-;\-&quot;$&quot;* #,##0_-;_-&quot;$&quot;* &quot;-&quot;??_-;_-@_-"/>
    <numFmt numFmtId="168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Arial"/>
      <family val="2"/>
    </font>
    <font>
      <b/>
      <sz val="11"/>
      <color rgb="FFFFFFFF"/>
      <name val="Arial"/>
      <family val="2"/>
    </font>
    <font>
      <b/>
      <sz val="10"/>
      <color rgb="FF1F4E7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/>
    <xf numFmtId="44" fontId="1" fillId="0" borderId="0"/>
    <xf numFmtId="9" fontId="1" fillId="0" borderId="0"/>
  </cellStyleXfs>
  <cellXfs count="26">
    <xf numFmtId="0" fontId="0" fillId="0" borderId="0" xfId="0"/>
    <xf numFmtId="0" fontId="4" fillId="4" borderId="0" xfId="0" applyFont="1" applyFill="1" applyAlignment="1">
      <alignment horizontal="center" vertical="center" wrapText="1"/>
    </xf>
    <xf numFmtId="44" fontId="4" fillId="4" borderId="0" xfId="2" applyFont="1" applyFill="1" applyAlignment="1">
      <alignment horizontal="center" vertical="center" wrapText="1"/>
    </xf>
    <xf numFmtId="0" fontId="0" fillId="3" borderId="0" xfId="0" applyFill="1"/>
    <xf numFmtId="0" fontId="3" fillId="3" borderId="0" xfId="0" applyFont="1" applyFill="1" applyAlignment="1">
      <alignment horizontal="left" vertical="center" wrapText="1"/>
    </xf>
    <xf numFmtId="44" fontId="0" fillId="3" borderId="0" xfId="2" applyFont="1" applyFill="1"/>
    <xf numFmtId="0" fontId="0" fillId="3" borderId="0" xfId="0" applyFill="1" applyAlignment="1">
      <alignment wrapText="1"/>
    </xf>
    <xf numFmtId="44" fontId="5" fillId="5" borderId="0" xfId="0" applyNumberFormat="1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66" fontId="3" fillId="0" borderId="0" xfId="0" applyNumberFormat="1" applyFont="1" applyAlignment="1">
      <alignment horizontal="left" vertical="center" wrapText="1"/>
    </xf>
    <xf numFmtId="44" fontId="5" fillId="5" borderId="0" xfId="2" applyFont="1" applyFill="1" applyAlignment="1">
      <alignment horizontal="left" vertical="center" wrapText="1"/>
    </xf>
    <xf numFmtId="44" fontId="0" fillId="3" borderId="0" xfId="0" applyNumberFormat="1" applyFill="1"/>
    <xf numFmtId="0" fontId="2" fillId="0" borderId="0" xfId="0" applyFont="1"/>
    <xf numFmtId="166" fontId="2" fillId="0" borderId="0" xfId="0" applyNumberFormat="1" applyFont="1" applyAlignment="1">
      <alignment horizontal="center"/>
    </xf>
    <xf numFmtId="0" fontId="5" fillId="5" borderId="0" xfId="0" applyFont="1" applyFill="1" applyAlignment="1">
      <alignment horizontal="left" vertical="center" wrapText="1"/>
    </xf>
    <xf numFmtId="44" fontId="3" fillId="3" borderId="0" xfId="0" applyNumberFormat="1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9" fontId="0" fillId="3" borderId="0" xfId="0" applyNumberFormat="1" applyFill="1"/>
    <xf numFmtId="9" fontId="0" fillId="3" borderId="0" xfId="3" applyFont="1" applyFill="1"/>
    <xf numFmtId="43" fontId="3" fillId="3" borderId="0" xfId="1" applyFont="1" applyFill="1" applyAlignment="1">
      <alignment horizontal="left" vertical="center" wrapText="1"/>
    </xf>
    <xf numFmtId="167" fontId="0" fillId="3" borderId="0" xfId="0" applyNumberFormat="1" applyFill="1"/>
    <xf numFmtId="168" fontId="5" fillId="5" borderId="0" xfId="2" applyNumberFormat="1" applyFont="1" applyFill="1" applyAlignment="1">
      <alignment horizontal="left" vertical="center" wrapText="1"/>
    </xf>
    <xf numFmtId="1" fontId="0" fillId="3" borderId="0" xfId="0" applyNumberFormat="1" applyFill="1"/>
    <xf numFmtId="1" fontId="3" fillId="3" borderId="0" xfId="2" applyNumberFormat="1" applyFont="1" applyFill="1" applyAlignment="1">
      <alignment horizontal="right" vertical="center" wrapText="1"/>
    </xf>
    <xf numFmtId="0" fontId="3" fillId="3" borderId="0" xfId="0" applyFont="1" applyFill="1" applyAlignment="1">
      <alignment horizontal="right" vertical="center" wrapText="1"/>
    </xf>
    <xf numFmtId="44" fontId="1" fillId="0" borderId="0" xfId="2"/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7"/>
  <sheetViews>
    <sheetView showGridLines="0" tabSelected="1" zoomScale="90" zoomScaleNormal="90" workbookViewId="0">
      <pane ySplit="1" topLeftCell="A2" activePane="bottomLeft" state="frozen"/>
      <selection pane="bottomLeft" activeCell="J35" sqref="J35"/>
    </sheetView>
  </sheetViews>
  <sheetFormatPr baseColWidth="10" defaultColWidth="50" defaultRowHeight="14.4" x14ac:dyDescent="0.3"/>
  <cols>
    <col min="1" max="1" width="7.44140625" style="3" bestFit="1" customWidth="1"/>
    <col min="2" max="2" width="50" style="3" customWidth="1"/>
    <col min="3" max="3" width="15" style="5" bestFit="1" customWidth="1"/>
    <col min="4" max="4" width="18" style="3" bestFit="1" customWidth="1"/>
    <col min="5" max="5" width="29" style="3" customWidth="1"/>
    <col min="6" max="6" width="6" style="3" bestFit="1" customWidth="1"/>
    <col min="7" max="7" width="19" style="3" customWidth="1"/>
    <col min="8" max="8" width="21" style="3" bestFit="1" customWidth="1"/>
    <col min="9" max="9" width="30" style="3" bestFit="1" customWidth="1"/>
    <col min="10" max="10" width="21" style="3" bestFit="1" customWidth="1"/>
    <col min="11" max="11" width="26" style="3" customWidth="1"/>
    <col min="12" max="12" width="21" style="3" customWidth="1"/>
    <col min="13" max="13" width="15" style="3" bestFit="1" customWidth="1"/>
    <col min="14" max="14" width="20" customWidth="1"/>
    <col min="15" max="15" width="20" style="3" customWidth="1"/>
    <col min="16" max="16" width="6" style="3" customWidth="1"/>
    <col min="17" max="17" width="50" style="3" customWidth="1"/>
    <col min="18" max="18" width="23" customWidth="1"/>
    <col min="19" max="19" width="13" customWidth="1"/>
    <col min="20" max="20" width="6" customWidth="1"/>
    <col min="21" max="21" width="19" customWidth="1"/>
    <col min="22" max="22" width="12" customWidth="1"/>
    <col min="23" max="23" width="21" customWidth="1"/>
    <col min="24" max="16384" width="50" style="3"/>
  </cols>
  <sheetData>
    <row r="1" spans="2:23" ht="43.2" customHeight="1" x14ac:dyDescent="0.3">
      <c r="B1" s="1" t="s">
        <v>47</v>
      </c>
      <c r="C1" s="2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2:23" x14ac:dyDescent="0.3">
      <c r="B2" s="4"/>
      <c r="E2" s="6"/>
      <c r="R2" s="3"/>
      <c r="S2" s="3"/>
      <c r="T2" s="3"/>
      <c r="U2" s="3"/>
      <c r="V2" s="3"/>
      <c r="W2" s="3"/>
    </row>
    <row r="3" spans="2:23" x14ac:dyDescent="0.3">
      <c r="B3" s="4"/>
      <c r="C3" s="25">
        <v>0</v>
      </c>
      <c r="D3" s="25">
        <v>0</v>
      </c>
      <c r="E3" s="4"/>
      <c r="F3" s="8"/>
      <c r="G3" s="9"/>
      <c r="H3" s="7">
        <f t="shared" ref="H3:H23" si="0">IF(E3=$H$1,D3,0)</f>
        <v>0</v>
      </c>
      <c r="I3" s="7">
        <f t="shared" ref="I3:I23" si="1">IF(E3=$I$1,D3,0)</f>
        <v>0</v>
      </c>
      <c r="J3" s="10">
        <f t="shared" ref="J3:J23" si="2">IF(E3=$J$1,D3,0)</f>
        <v>0</v>
      </c>
      <c r="K3" s="10">
        <f t="shared" ref="K3:K23" si="3">IF(E3=$K$1,D3,0)</f>
        <v>0</v>
      </c>
      <c r="L3" s="10">
        <f t="shared" ref="L3:L23" si="4">IF(E3=$L$1,D3,0)</f>
        <v>0</v>
      </c>
      <c r="M3" s="7">
        <f t="shared" ref="M3:M23" si="5">SUM(H3:L3)</f>
        <v>0</v>
      </c>
      <c r="N3" s="7">
        <f t="shared" ref="N3:N23" si="6">IF(G3="V",D3,0)</f>
        <v>0</v>
      </c>
      <c r="O3" s="10">
        <f t="shared" ref="O3:O23" si="7">IF(G3="F",D3,0)</f>
        <v>0</v>
      </c>
      <c r="R3" s="3"/>
      <c r="S3" s="3"/>
      <c r="T3" s="3"/>
      <c r="U3" s="3"/>
      <c r="V3" s="3"/>
      <c r="W3" s="3"/>
    </row>
    <row r="4" spans="2:23" x14ac:dyDescent="0.3">
      <c r="B4" s="4"/>
      <c r="C4" s="25">
        <v>0</v>
      </c>
      <c r="D4" s="25">
        <v>0</v>
      </c>
      <c r="E4" s="4"/>
      <c r="F4" s="8"/>
      <c r="G4" s="9"/>
      <c r="H4" s="7">
        <f t="shared" si="0"/>
        <v>0</v>
      </c>
      <c r="I4" s="7">
        <f t="shared" si="1"/>
        <v>0</v>
      </c>
      <c r="J4" s="10">
        <f t="shared" si="2"/>
        <v>0</v>
      </c>
      <c r="K4" s="10">
        <f t="shared" si="3"/>
        <v>0</v>
      </c>
      <c r="L4" s="10">
        <f t="shared" si="4"/>
        <v>0</v>
      </c>
      <c r="M4" s="7">
        <f t="shared" si="5"/>
        <v>0</v>
      </c>
      <c r="N4" s="7">
        <f t="shared" si="6"/>
        <v>0</v>
      </c>
      <c r="O4" s="10">
        <f t="shared" si="7"/>
        <v>0</v>
      </c>
      <c r="R4" s="3"/>
      <c r="S4" s="3"/>
      <c r="T4" s="3"/>
      <c r="U4" s="3"/>
      <c r="V4" s="3"/>
      <c r="W4" s="3"/>
    </row>
    <row r="5" spans="2:23" x14ac:dyDescent="0.3">
      <c r="B5" s="4"/>
      <c r="C5" s="25">
        <v>0</v>
      </c>
      <c r="D5" s="25">
        <v>0</v>
      </c>
      <c r="E5" s="4"/>
      <c r="F5" s="8"/>
      <c r="G5" s="9"/>
      <c r="H5" s="7">
        <f t="shared" si="0"/>
        <v>0</v>
      </c>
      <c r="I5" s="7">
        <f t="shared" si="1"/>
        <v>0</v>
      </c>
      <c r="J5" s="10">
        <f t="shared" si="2"/>
        <v>0</v>
      </c>
      <c r="K5" s="10">
        <f t="shared" si="3"/>
        <v>0</v>
      </c>
      <c r="L5" s="10">
        <f t="shared" si="4"/>
        <v>0</v>
      </c>
      <c r="M5" s="7">
        <f t="shared" si="5"/>
        <v>0</v>
      </c>
      <c r="N5" s="7">
        <f t="shared" si="6"/>
        <v>0</v>
      </c>
      <c r="O5" s="10">
        <f t="shared" si="7"/>
        <v>0</v>
      </c>
      <c r="R5" s="3"/>
      <c r="S5" s="3"/>
      <c r="T5" s="3"/>
      <c r="U5" s="3"/>
      <c r="V5" s="3"/>
      <c r="W5" s="3"/>
    </row>
    <row r="6" spans="2:23" x14ac:dyDescent="0.3">
      <c r="B6" s="4"/>
      <c r="C6" s="25">
        <v>0</v>
      </c>
      <c r="D6" s="25">
        <v>0</v>
      </c>
      <c r="E6" s="4"/>
      <c r="F6" s="8"/>
      <c r="G6" s="9"/>
      <c r="H6" s="7">
        <f t="shared" si="0"/>
        <v>0</v>
      </c>
      <c r="I6" s="7">
        <f t="shared" si="1"/>
        <v>0</v>
      </c>
      <c r="J6" s="10">
        <f t="shared" si="2"/>
        <v>0</v>
      </c>
      <c r="K6" s="10">
        <f t="shared" si="3"/>
        <v>0</v>
      </c>
      <c r="L6" s="10">
        <f t="shared" si="4"/>
        <v>0</v>
      </c>
      <c r="M6" s="7">
        <f t="shared" si="5"/>
        <v>0</v>
      </c>
      <c r="N6" s="7">
        <f t="shared" si="6"/>
        <v>0</v>
      </c>
      <c r="O6" s="10">
        <f t="shared" si="7"/>
        <v>0</v>
      </c>
      <c r="R6" s="3"/>
      <c r="S6" s="3"/>
      <c r="T6" s="3"/>
      <c r="U6" s="3"/>
      <c r="V6" s="3"/>
      <c r="W6" s="3"/>
    </row>
    <row r="7" spans="2:23" x14ac:dyDescent="0.3">
      <c r="B7" s="4"/>
      <c r="C7" s="25">
        <v>0</v>
      </c>
      <c r="D7" s="25">
        <v>0</v>
      </c>
      <c r="E7" s="4"/>
      <c r="F7" s="8"/>
      <c r="G7" s="9"/>
      <c r="H7" s="7">
        <f t="shared" si="0"/>
        <v>0</v>
      </c>
      <c r="I7" s="7">
        <f t="shared" si="1"/>
        <v>0</v>
      </c>
      <c r="J7" s="10">
        <f t="shared" si="2"/>
        <v>0</v>
      </c>
      <c r="K7" s="10">
        <f t="shared" si="3"/>
        <v>0</v>
      </c>
      <c r="L7" s="10">
        <f t="shared" si="4"/>
        <v>0</v>
      </c>
      <c r="M7" s="7">
        <f t="shared" si="5"/>
        <v>0</v>
      </c>
      <c r="N7" s="7">
        <f t="shared" si="6"/>
        <v>0</v>
      </c>
      <c r="O7" s="10">
        <f t="shared" si="7"/>
        <v>0</v>
      </c>
      <c r="R7" s="3"/>
      <c r="S7" s="3"/>
      <c r="T7" s="3"/>
      <c r="U7" s="3"/>
      <c r="V7" s="3"/>
      <c r="W7" s="3"/>
    </row>
    <row r="8" spans="2:23" x14ac:dyDescent="0.3">
      <c r="B8" s="4"/>
      <c r="C8" s="25">
        <v>0</v>
      </c>
      <c r="D8" s="25">
        <v>0</v>
      </c>
      <c r="E8" s="4"/>
      <c r="F8" s="8"/>
      <c r="G8" s="9"/>
      <c r="H8" s="7">
        <f t="shared" si="0"/>
        <v>0</v>
      </c>
      <c r="I8" s="7">
        <f t="shared" si="1"/>
        <v>0</v>
      </c>
      <c r="J8" s="10">
        <f t="shared" si="2"/>
        <v>0</v>
      </c>
      <c r="K8" s="10">
        <f t="shared" si="3"/>
        <v>0</v>
      </c>
      <c r="L8" s="10">
        <f t="shared" si="4"/>
        <v>0</v>
      </c>
      <c r="M8" s="7">
        <f t="shared" si="5"/>
        <v>0</v>
      </c>
      <c r="N8" s="7">
        <f t="shared" si="6"/>
        <v>0</v>
      </c>
      <c r="O8" s="10">
        <f t="shared" si="7"/>
        <v>0</v>
      </c>
      <c r="R8" s="3"/>
      <c r="S8" s="3"/>
      <c r="T8" s="3"/>
      <c r="U8" s="3"/>
      <c r="V8" s="3"/>
      <c r="W8" s="3"/>
    </row>
    <row r="9" spans="2:23" x14ac:dyDescent="0.3">
      <c r="B9" s="4"/>
      <c r="C9" s="25">
        <v>0</v>
      </c>
      <c r="D9" s="25">
        <v>0</v>
      </c>
      <c r="E9" s="4"/>
      <c r="F9" s="8"/>
      <c r="G9" s="9"/>
      <c r="H9" s="7">
        <f t="shared" si="0"/>
        <v>0</v>
      </c>
      <c r="I9" s="7">
        <f t="shared" si="1"/>
        <v>0</v>
      </c>
      <c r="J9" s="10">
        <f t="shared" si="2"/>
        <v>0</v>
      </c>
      <c r="K9" s="10">
        <f t="shared" si="3"/>
        <v>0</v>
      </c>
      <c r="L9" s="10">
        <f t="shared" si="4"/>
        <v>0</v>
      </c>
      <c r="M9" s="7">
        <f t="shared" si="5"/>
        <v>0</v>
      </c>
      <c r="N9" s="7">
        <f t="shared" si="6"/>
        <v>0</v>
      </c>
      <c r="O9" s="10">
        <f t="shared" si="7"/>
        <v>0</v>
      </c>
      <c r="R9" s="3"/>
      <c r="S9" s="3"/>
      <c r="T9" s="3"/>
      <c r="U9" s="3"/>
      <c r="V9" s="3"/>
      <c r="W9" s="3"/>
    </row>
    <row r="10" spans="2:23" x14ac:dyDescent="0.3">
      <c r="B10" s="4"/>
      <c r="C10" s="25">
        <v>0</v>
      </c>
      <c r="D10" s="25">
        <v>0</v>
      </c>
      <c r="E10" s="4"/>
      <c r="F10" s="8"/>
      <c r="G10" s="9"/>
      <c r="H10" s="7">
        <f t="shared" si="0"/>
        <v>0</v>
      </c>
      <c r="I10" s="7">
        <f t="shared" si="1"/>
        <v>0</v>
      </c>
      <c r="J10" s="10">
        <f t="shared" si="2"/>
        <v>0</v>
      </c>
      <c r="K10" s="10">
        <f t="shared" si="3"/>
        <v>0</v>
      </c>
      <c r="L10" s="10">
        <f t="shared" si="4"/>
        <v>0</v>
      </c>
      <c r="M10" s="7">
        <f t="shared" si="5"/>
        <v>0</v>
      </c>
      <c r="N10" s="7">
        <f t="shared" si="6"/>
        <v>0</v>
      </c>
      <c r="O10" s="10">
        <f t="shared" si="7"/>
        <v>0</v>
      </c>
      <c r="R10" s="3"/>
      <c r="S10" s="3"/>
      <c r="T10" s="3"/>
      <c r="U10" s="3"/>
      <c r="V10" s="3"/>
      <c r="W10" s="3"/>
    </row>
    <row r="11" spans="2:23" x14ac:dyDescent="0.3">
      <c r="B11" s="4"/>
      <c r="C11" s="25">
        <v>0</v>
      </c>
      <c r="D11" s="25">
        <v>0</v>
      </c>
      <c r="E11" s="4"/>
      <c r="F11" s="8"/>
      <c r="G11" s="9"/>
      <c r="H11" s="7">
        <f t="shared" si="0"/>
        <v>0</v>
      </c>
      <c r="I11" s="7">
        <f t="shared" si="1"/>
        <v>0</v>
      </c>
      <c r="J11" s="10">
        <f t="shared" si="2"/>
        <v>0</v>
      </c>
      <c r="K11" s="10">
        <f t="shared" si="3"/>
        <v>0</v>
      </c>
      <c r="L11" s="10">
        <f t="shared" si="4"/>
        <v>0</v>
      </c>
      <c r="M11" s="7">
        <f t="shared" si="5"/>
        <v>0</v>
      </c>
      <c r="N11" s="7">
        <f t="shared" si="6"/>
        <v>0</v>
      </c>
      <c r="O11" s="10">
        <f t="shared" si="7"/>
        <v>0</v>
      </c>
      <c r="R11" s="3"/>
      <c r="S11" s="3"/>
      <c r="T11" s="3"/>
      <c r="U11" s="3"/>
      <c r="V11" s="3"/>
      <c r="W11" s="3"/>
    </row>
    <row r="12" spans="2:23" x14ac:dyDescent="0.3">
      <c r="B12" s="4"/>
      <c r="C12" s="25">
        <v>0</v>
      </c>
      <c r="D12" s="25">
        <v>0</v>
      </c>
      <c r="E12" s="4"/>
      <c r="F12" s="8"/>
      <c r="G12" s="9"/>
      <c r="H12" s="7">
        <f t="shared" si="0"/>
        <v>0</v>
      </c>
      <c r="I12" s="7">
        <f t="shared" si="1"/>
        <v>0</v>
      </c>
      <c r="J12" s="10">
        <f t="shared" si="2"/>
        <v>0</v>
      </c>
      <c r="K12" s="10">
        <f t="shared" si="3"/>
        <v>0</v>
      </c>
      <c r="L12" s="10">
        <f t="shared" si="4"/>
        <v>0</v>
      </c>
      <c r="M12" s="7">
        <f t="shared" si="5"/>
        <v>0</v>
      </c>
      <c r="N12" s="7">
        <f t="shared" si="6"/>
        <v>0</v>
      </c>
      <c r="O12" s="10">
        <f t="shared" si="7"/>
        <v>0</v>
      </c>
      <c r="R12" s="3"/>
      <c r="S12" s="3"/>
      <c r="T12" s="3"/>
      <c r="U12" s="3"/>
      <c r="V12" s="3"/>
      <c r="W12" s="3"/>
    </row>
    <row r="13" spans="2:23" x14ac:dyDescent="0.3">
      <c r="B13" s="4"/>
      <c r="C13" s="25">
        <v>0</v>
      </c>
      <c r="D13" s="25">
        <v>0</v>
      </c>
      <c r="E13" s="4"/>
      <c r="F13" s="8"/>
      <c r="G13" s="9"/>
      <c r="H13" s="7">
        <f t="shared" si="0"/>
        <v>0</v>
      </c>
      <c r="I13" s="7">
        <f t="shared" si="1"/>
        <v>0</v>
      </c>
      <c r="J13" s="10">
        <f t="shared" si="2"/>
        <v>0</v>
      </c>
      <c r="K13" s="10">
        <f t="shared" si="3"/>
        <v>0</v>
      </c>
      <c r="L13" s="10">
        <f t="shared" si="4"/>
        <v>0</v>
      </c>
      <c r="M13" s="7">
        <f t="shared" si="5"/>
        <v>0</v>
      </c>
      <c r="N13" s="7">
        <f t="shared" si="6"/>
        <v>0</v>
      </c>
      <c r="O13" s="10">
        <f t="shared" si="7"/>
        <v>0</v>
      </c>
      <c r="R13" s="3"/>
      <c r="S13" s="3"/>
      <c r="T13" s="3"/>
      <c r="U13" s="3"/>
      <c r="V13" s="3"/>
      <c r="W13" s="3"/>
    </row>
    <row r="14" spans="2:23" x14ac:dyDescent="0.3">
      <c r="B14" s="4"/>
      <c r="C14" s="25">
        <v>0</v>
      </c>
      <c r="D14" s="25">
        <v>0</v>
      </c>
      <c r="E14" s="4"/>
      <c r="F14" s="8"/>
      <c r="G14" s="9"/>
      <c r="H14" s="7">
        <f t="shared" si="0"/>
        <v>0</v>
      </c>
      <c r="I14" s="7">
        <f t="shared" si="1"/>
        <v>0</v>
      </c>
      <c r="J14" s="10">
        <f t="shared" si="2"/>
        <v>0</v>
      </c>
      <c r="K14" s="10">
        <f t="shared" si="3"/>
        <v>0</v>
      </c>
      <c r="L14" s="10">
        <f t="shared" si="4"/>
        <v>0</v>
      </c>
      <c r="M14" s="7">
        <f t="shared" si="5"/>
        <v>0</v>
      </c>
      <c r="N14" s="7">
        <f t="shared" si="6"/>
        <v>0</v>
      </c>
      <c r="O14" s="10">
        <f t="shared" si="7"/>
        <v>0</v>
      </c>
      <c r="R14" s="3"/>
      <c r="S14" s="3"/>
      <c r="T14" s="3"/>
      <c r="U14" s="3"/>
      <c r="V14" s="3"/>
      <c r="W14" s="3"/>
    </row>
    <row r="15" spans="2:23" x14ac:dyDescent="0.3">
      <c r="B15" s="4"/>
      <c r="C15" s="25">
        <v>0</v>
      </c>
      <c r="D15" s="25">
        <v>0</v>
      </c>
      <c r="E15" s="4"/>
      <c r="F15" s="8"/>
      <c r="G15" s="9"/>
      <c r="H15" s="7">
        <f t="shared" si="0"/>
        <v>0</v>
      </c>
      <c r="I15" s="7">
        <f t="shared" si="1"/>
        <v>0</v>
      </c>
      <c r="J15" s="10">
        <f t="shared" si="2"/>
        <v>0</v>
      </c>
      <c r="K15" s="10">
        <f t="shared" si="3"/>
        <v>0</v>
      </c>
      <c r="L15" s="10">
        <f t="shared" si="4"/>
        <v>0</v>
      </c>
      <c r="M15" s="7">
        <f t="shared" si="5"/>
        <v>0</v>
      </c>
      <c r="N15" s="7">
        <f t="shared" si="6"/>
        <v>0</v>
      </c>
      <c r="O15" s="10">
        <f t="shared" si="7"/>
        <v>0</v>
      </c>
      <c r="R15" s="3"/>
      <c r="S15" s="3"/>
      <c r="T15" s="3"/>
      <c r="U15" s="3"/>
      <c r="V15" s="3"/>
      <c r="W15" s="3"/>
    </row>
    <row r="16" spans="2:23" x14ac:dyDescent="0.3">
      <c r="B16" s="4"/>
      <c r="C16" s="25">
        <v>0</v>
      </c>
      <c r="D16" s="25">
        <v>0</v>
      </c>
      <c r="E16" s="4"/>
      <c r="F16" s="8"/>
      <c r="G16" s="9"/>
      <c r="H16" s="7">
        <f t="shared" si="0"/>
        <v>0</v>
      </c>
      <c r="I16" s="7">
        <f t="shared" si="1"/>
        <v>0</v>
      </c>
      <c r="J16" s="10">
        <f t="shared" si="2"/>
        <v>0</v>
      </c>
      <c r="K16" s="10">
        <f t="shared" si="3"/>
        <v>0</v>
      </c>
      <c r="L16" s="10">
        <f t="shared" si="4"/>
        <v>0</v>
      </c>
      <c r="M16" s="7">
        <f t="shared" si="5"/>
        <v>0</v>
      </c>
      <c r="N16" s="7">
        <f t="shared" si="6"/>
        <v>0</v>
      </c>
      <c r="O16" s="10">
        <f t="shared" si="7"/>
        <v>0</v>
      </c>
      <c r="R16" s="3"/>
      <c r="S16" s="3"/>
      <c r="T16" s="3"/>
      <c r="U16" s="3"/>
      <c r="V16" s="3"/>
      <c r="W16" s="3"/>
    </row>
    <row r="17" spans="2:23" x14ac:dyDescent="0.3">
      <c r="B17" s="4"/>
      <c r="C17" s="25">
        <v>0</v>
      </c>
      <c r="D17" s="25">
        <v>0</v>
      </c>
      <c r="E17" s="4"/>
      <c r="F17" s="8"/>
      <c r="G17" s="9"/>
      <c r="H17" s="7">
        <f t="shared" si="0"/>
        <v>0</v>
      </c>
      <c r="I17" s="7">
        <f t="shared" si="1"/>
        <v>0</v>
      </c>
      <c r="J17" s="10">
        <f t="shared" si="2"/>
        <v>0</v>
      </c>
      <c r="K17" s="10">
        <f t="shared" si="3"/>
        <v>0</v>
      </c>
      <c r="L17" s="10">
        <f t="shared" si="4"/>
        <v>0</v>
      </c>
      <c r="M17" s="7">
        <f t="shared" si="5"/>
        <v>0</v>
      </c>
      <c r="N17" s="7">
        <f t="shared" si="6"/>
        <v>0</v>
      </c>
      <c r="O17" s="10">
        <f t="shared" si="7"/>
        <v>0</v>
      </c>
      <c r="R17" s="3"/>
      <c r="S17" s="3"/>
      <c r="T17" s="3"/>
      <c r="U17" s="3"/>
      <c r="V17" s="3"/>
      <c r="W17" s="3"/>
    </row>
    <row r="18" spans="2:23" x14ac:dyDescent="0.3">
      <c r="B18" s="4"/>
      <c r="C18" s="25">
        <v>0</v>
      </c>
      <c r="D18" s="25">
        <v>0</v>
      </c>
      <c r="E18" s="4"/>
      <c r="F18" s="8"/>
      <c r="G18" s="9"/>
      <c r="H18" s="7">
        <f t="shared" si="0"/>
        <v>0</v>
      </c>
      <c r="I18" s="7">
        <f t="shared" si="1"/>
        <v>0</v>
      </c>
      <c r="J18" s="10">
        <f t="shared" si="2"/>
        <v>0</v>
      </c>
      <c r="K18" s="10">
        <f t="shared" si="3"/>
        <v>0</v>
      </c>
      <c r="L18" s="10">
        <f t="shared" si="4"/>
        <v>0</v>
      </c>
      <c r="M18" s="7">
        <f t="shared" si="5"/>
        <v>0</v>
      </c>
      <c r="N18" s="7">
        <f t="shared" si="6"/>
        <v>0</v>
      </c>
      <c r="O18" s="10">
        <f t="shared" si="7"/>
        <v>0</v>
      </c>
      <c r="R18" s="3"/>
      <c r="S18" s="3"/>
      <c r="T18" s="3"/>
      <c r="U18" s="3"/>
      <c r="V18" s="3"/>
      <c r="W18" s="3"/>
    </row>
    <row r="19" spans="2:23" x14ac:dyDescent="0.3">
      <c r="B19" s="4"/>
      <c r="C19" s="25">
        <v>0</v>
      </c>
      <c r="D19" s="25">
        <v>0</v>
      </c>
      <c r="E19" s="4"/>
      <c r="F19" s="8"/>
      <c r="G19" s="9"/>
      <c r="H19" s="7">
        <f t="shared" si="0"/>
        <v>0</v>
      </c>
      <c r="I19" s="7">
        <f t="shared" si="1"/>
        <v>0</v>
      </c>
      <c r="J19" s="10">
        <f t="shared" si="2"/>
        <v>0</v>
      </c>
      <c r="K19" s="10">
        <f t="shared" si="3"/>
        <v>0</v>
      </c>
      <c r="L19" s="10">
        <f t="shared" si="4"/>
        <v>0</v>
      </c>
      <c r="M19" s="7">
        <f t="shared" si="5"/>
        <v>0</v>
      </c>
      <c r="N19" s="7">
        <f t="shared" si="6"/>
        <v>0</v>
      </c>
      <c r="O19" s="10">
        <f t="shared" si="7"/>
        <v>0</v>
      </c>
      <c r="R19" s="3"/>
      <c r="S19" s="3"/>
      <c r="T19" s="3"/>
      <c r="U19" s="3"/>
      <c r="V19" s="3"/>
      <c r="W19" s="3"/>
    </row>
    <row r="20" spans="2:23" x14ac:dyDescent="0.3">
      <c r="B20" s="4"/>
      <c r="C20" s="25">
        <v>0</v>
      </c>
      <c r="D20" s="25">
        <v>0</v>
      </c>
      <c r="E20" s="4"/>
      <c r="F20" s="8"/>
      <c r="G20" s="9"/>
      <c r="H20" s="7">
        <f t="shared" si="0"/>
        <v>0</v>
      </c>
      <c r="I20" s="7">
        <f t="shared" si="1"/>
        <v>0</v>
      </c>
      <c r="J20" s="10">
        <f t="shared" si="2"/>
        <v>0</v>
      </c>
      <c r="K20" s="10">
        <f t="shared" si="3"/>
        <v>0</v>
      </c>
      <c r="L20" s="10">
        <f t="shared" si="4"/>
        <v>0</v>
      </c>
      <c r="M20" s="7">
        <f t="shared" si="5"/>
        <v>0</v>
      </c>
      <c r="N20" s="7">
        <f t="shared" si="6"/>
        <v>0</v>
      </c>
      <c r="O20" s="10">
        <f t="shared" si="7"/>
        <v>0</v>
      </c>
      <c r="R20" s="3"/>
      <c r="S20" s="3"/>
      <c r="T20" s="3"/>
      <c r="U20" s="3"/>
      <c r="V20" s="3"/>
      <c r="W20" s="3"/>
    </row>
    <row r="21" spans="2:23" x14ac:dyDescent="0.3">
      <c r="B21" s="4"/>
      <c r="C21" s="25">
        <v>0</v>
      </c>
      <c r="D21" s="25">
        <v>0</v>
      </c>
      <c r="E21" s="4"/>
      <c r="F21" s="8"/>
      <c r="G21" s="9"/>
      <c r="H21" s="7">
        <f t="shared" si="0"/>
        <v>0</v>
      </c>
      <c r="I21" s="7">
        <f t="shared" si="1"/>
        <v>0</v>
      </c>
      <c r="J21" s="10">
        <f t="shared" si="2"/>
        <v>0</v>
      </c>
      <c r="K21" s="10">
        <f t="shared" si="3"/>
        <v>0</v>
      </c>
      <c r="L21" s="10">
        <f t="shared" si="4"/>
        <v>0</v>
      </c>
      <c r="M21" s="7">
        <f t="shared" si="5"/>
        <v>0</v>
      </c>
      <c r="N21" s="7">
        <f t="shared" si="6"/>
        <v>0</v>
      </c>
      <c r="O21" s="10">
        <f t="shared" si="7"/>
        <v>0</v>
      </c>
      <c r="R21" s="3"/>
      <c r="S21" s="3"/>
      <c r="T21" s="3"/>
      <c r="U21" s="3"/>
      <c r="V21" s="3"/>
      <c r="W21" s="3"/>
    </row>
    <row r="22" spans="2:23" x14ac:dyDescent="0.3">
      <c r="B22" s="4"/>
      <c r="C22" s="25">
        <v>0</v>
      </c>
      <c r="D22" s="25">
        <v>0</v>
      </c>
      <c r="E22" s="4"/>
      <c r="F22" s="8"/>
      <c r="G22" s="9"/>
      <c r="H22" s="7">
        <f t="shared" si="0"/>
        <v>0</v>
      </c>
      <c r="I22" s="7">
        <f t="shared" si="1"/>
        <v>0</v>
      </c>
      <c r="J22" s="10">
        <f t="shared" si="2"/>
        <v>0</v>
      </c>
      <c r="K22" s="10">
        <f t="shared" si="3"/>
        <v>0</v>
      </c>
      <c r="L22" s="10">
        <f t="shared" si="4"/>
        <v>0</v>
      </c>
      <c r="M22" s="7">
        <f t="shared" si="5"/>
        <v>0</v>
      </c>
      <c r="N22" s="7">
        <f t="shared" si="6"/>
        <v>0</v>
      </c>
      <c r="O22" s="10">
        <f t="shared" si="7"/>
        <v>0</v>
      </c>
      <c r="R22" s="3"/>
      <c r="S22" s="3"/>
      <c r="T22" s="3"/>
      <c r="U22" s="3"/>
      <c r="V22" s="3"/>
      <c r="W22" s="3"/>
    </row>
    <row r="23" spans="2:23" x14ac:dyDescent="0.3">
      <c r="B23" s="4"/>
      <c r="C23" s="25">
        <v>0</v>
      </c>
      <c r="D23" s="25">
        <v>0</v>
      </c>
      <c r="E23" s="4"/>
      <c r="F23" s="8"/>
      <c r="G23" s="9"/>
      <c r="H23" s="7">
        <f t="shared" si="0"/>
        <v>0</v>
      </c>
      <c r="I23" s="7">
        <f t="shared" si="1"/>
        <v>0</v>
      </c>
      <c r="J23" s="10">
        <f t="shared" si="2"/>
        <v>0</v>
      </c>
      <c r="K23" s="10">
        <f t="shared" si="3"/>
        <v>0</v>
      </c>
      <c r="L23" s="10">
        <f t="shared" si="4"/>
        <v>0</v>
      </c>
      <c r="M23" s="7">
        <f t="shared" si="5"/>
        <v>0</v>
      </c>
      <c r="N23" s="7">
        <f t="shared" si="6"/>
        <v>0</v>
      </c>
      <c r="O23" s="10">
        <f t="shared" si="7"/>
        <v>0</v>
      </c>
      <c r="R23" s="3"/>
      <c r="S23" s="3"/>
      <c r="T23" s="3"/>
      <c r="U23" s="3"/>
      <c r="V23" s="3"/>
      <c r="W23" s="3"/>
    </row>
    <row r="24" spans="2:23" x14ac:dyDescent="0.3">
      <c r="D24" s="11"/>
      <c r="E24" s="6"/>
      <c r="F24" s="12"/>
      <c r="G24" s="13"/>
      <c r="H24" s="11"/>
      <c r="I24" s="11"/>
      <c r="J24" s="5"/>
      <c r="K24" s="5"/>
      <c r="L24" s="5"/>
      <c r="M24" s="11"/>
      <c r="N24" s="11"/>
      <c r="O24" s="5"/>
      <c r="R24" s="3"/>
      <c r="S24" s="3"/>
      <c r="T24" s="3"/>
      <c r="U24" s="3"/>
      <c r="V24" s="3"/>
      <c r="W24" s="3"/>
    </row>
    <row r="25" spans="2:23" x14ac:dyDescent="0.3">
      <c r="B25" s="14" t="s">
        <v>13</v>
      </c>
      <c r="D25" s="7">
        <f>SUM(D3:D23)</f>
        <v>0</v>
      </c>
      <c r="H25" s="7">
        <f t="shared" ref="H25:O25" si="8">SUM(H3:H23)</f>
        <v>0</v>
      </c>
      <c r="I25" s="7">
        <f t="shared" si="8"/>
        <v>0</v>
      </c>
      <c r="J25" s="7">
        <f t="shared" si="8"/>
        <v>0</v>
      </c>
      <c r="K25" s="7">
        <f t="shared" si="8"/>
        <v>0</v>
      </c>
      <c r="L25" s="7">
        <f t="shared" si="8"/>
        <v>0</v>
      </c>
      <c r="M25" s="7">
        <f t="shared" si="8"/>
        <v>0</v>
      </c>
      <c r="N25" s="7">
        <f t="shared" si="8"/>
        <v>0</v>
      </c>
      <c r="O25" s="7">
        <f t="shared" si="8"/>
        <v>0</v>
      </c>
      <c r="P25" s="11"/>
      <c r="R25" s="3"/>
      <c r="S25" s="3"/>
      <c r="T25" s="3"/>
      <c r="U25" s="3"/>
      <c r="V25" s="3"/>
      <c r="W25" s="3"/>
    </row>
    <row r="26" spans="2:23" x14ac:dyDescent="0.3">
      <c r="B26"/>
      <c r="K26" s="15" t="s">
        <v>14</v>
      </c>
      <c r="L26" s="15" t="s">
        <v>14</v>
      </c>
      <c r="M26" s="15" t="s">
        <v>14</v>
      </c>
      <c r="R26" s="3"/>
      <c r="S26" s="3"/>
      <c r="T26" s="3"/>
      <c r="U26" s="3"/>
      <c r="V26" s="3"/>
      <c r="W26" s="3"/>
    </row>
    <row r="27" spans="2:23" x14ac:dyDescent="0.3">
      <c r="R27" s="3"/>
      <c r="S27" s="3"/>
      <c r="T27" s="3"/>
      <c r="U27" s="3"/>
      <c r="V27" s="3"/>
      <c r="W27" s="3"/>
    </row>
    <row r="28" spans="2:23" ht="26.4" x14ac:dyDescent="0.3">
      <c r="B28" s="4" t="s">
        <v>15</v>
      </c>
      <c r="C28" s="10">
        <f>H25</f>
        <v>0</v>
      </c>
      <c r="D28" s="11"/>
      <c r="I28" s="16" t="s">
        <v>16</v>
      </c>
      <c r="R28" s="3"/>
      <c r="S28" s="3"/>
      <c r="T28" s="3"/>
      <c r="U28" s="3"/>
      <c r="V28" s="3"/>
      <c r="W28" s="3"/>
    </row>
    <row r="29" spans="2:23" x14ac:dyDescent="0.3">
      <c r="B29" s="4" t="s">
        <v>17</v>
      </c>
      <c r="C29" s="10">
        <f>I25+J25</f>
        <v>0</v>
      </c>
      <c r="D29" s="11"/>
      <c r="R29" s="3"/>
      <c r="S29" s="3"/>
      <c r="T29" s="3"/>
      <c r="U29" s="3"/>
      <c r="V29" s="3"/>
      <c r="W29" s="3"/>
    </row>
    <row r="30" spans="2:23" x14ac:dyDescent="0.3">
      <c r="B30" s="4" t="s">
        <v>18</v>
      </c>
      <c r="C30" s="10">
        <f>H25+I25</f>
        <v>0</v>
      </c>
      <c r="D30" s="11"/>
      <c r="L30" s="4" t="s">
        <v>19</v>
      </c>
      <c r="R30" s="3"/>
      <c r="S30" s="3"/>
      <c r="T30" s="3"/>
      <c r="U30" s="3"/>
      <c r="V30" s="3"/>
      <c r="W30" s="3"/>
    </row>
    <row r="31" spans="2:23" x14ac:dyDescent="0.3">
      <c r="B31" s="4" t="s">
        <v>20</v>
      </c>
      <c r="C31" s="10">
        <f>H25+I25+J25</f>
        <v>0</v>
      </c>
      <c r="D31" s="11"/>
      <c r="I31" s="4" t="s">
        <v>21</v>
      </c>
      <c r="J31" s="7">
        <f>C37</f>
        <v>0</v>
      </c>
      <c r="K31" s="17"/>
      <c r="L31" s="7" t="e">
        <f>J31/$C$38</f>
        <v>#DIV/0!</v>
      </c>
      <c r="R31" s="3"/>
      <c r="S31" s="3"/>
      <c r="T31" s="3"/>
      <c r="U31" s="3"/>
      <c r="V31" s="3"/>
      <c r="W31" s="3"/>
    </row>
    <row r="32" spans="2:23" x14ac:dyDescent="0.3">
      <c r="B32" s="4" t="s">
        <v>22</v>
      </c>
      <c r="C32" s="10">
        <f>K25+L25</f>
        <v>0</v>
      </c>
      <c r="D32" s="11"/>
      <c r="I32" s="4" t="s">
        <v>23</v>
      </c>
      <c r="J32" s="7">
        <f>N25</f>
        <v>0</v>
      </c>
      <c r="K32" s="18"/>
      <c r="L32" s="7" t="e">
        <f>J32/$C$38</f>
        <v>#DIV/0!</v>
      </c>
      <c r="R32" s="3"/>
      <c r="S32" s="3"/>
      <c r="T32" s="3"/>
      <c r="U32" s="3"/>
      <c r="V32" s="3"/>
      <c r="W32" s="3"/>
    </row>
    <row r="33" spans="1:23" x14ac:dyDescent="0.3">
      <c r="B33" s="14" t="s">
        <v>24</v>
      </c>
      <c r="C33" s="10">
        <f>C31+C32</f>
        <v>0</v>
      </c>
      <c r="D33" s="11"/>
      <c r="E33" s="15" t="s">
        <v>14</v>
      </c>
      <c r="G33" s="15" t="s">
        <v>14</v>
      </c>
      <c r="I33" s="4" t="s">
        <v>25</v>
      </c>
      <c r="J33" s="7">
        <f>J31-J32</f>
        <v>0</v>
      </c>
      <c r="K33" s="18"/>
      <c r="L33" s="7" t="e">
        <f>J33/$C$38</f>
        <v>#DIV/0!</v>
      </c>
      <c r="R33" s="3"/>
      <c r="S33" s="3"/>
      <c r="T33" s="3"/>
      <c r="U33" s="3"/>
      <c r="V33" s="3"/>
      <c r="W33" s="3"/>
    </row>
    <row r="34" spans="1:23" x14ac:dyDescent="0.3">
      <c r="B34" s="4" t="s">
        <v>26</v>
      </c>
      <c r="C34" s="10">
        <f>C33*0.35</f>
        <v>0</v>
      </c>
      <c r="D34" s="11"/>
      <c r="E34" s="11"/>
      <c r="G34" s="15" t="s">
        <v>14</v>
      </c>
      <c r="I34" s="4" t="s">
        <v>27</v>
      </c>
      <c r="J34" s="24"/>
      <c r="R34" s="3"/>
      <c r="S34" s="3"/>
      <c r="T34" s="3"/>
      <c r="U34" s="3"/>
      <c r="V34" s="3"/>
      <c r="W34" s="3"/>
    </row>
    <row r="35" spans="1:23" x14ac:dyDescent="0.3">
      <c r="B35" s="4" t="s">
        <v>28</v>
      </c>
      <c r="C35" s="10">
        <f>C34*0.3</f>
        <v>0</v>
      </c>
      <c r="D35" s="11"/>
      <c r="R35" s="3"/>
      <c r="S35" s="3"/>
      <c r="T35" s="3"/>
      <c r="U35" s="3"/>
      <c r="V35" s="3"/>
      <c r="W35" s="3"/>
    </row>
    <row r="36" spans="1:23" ht="26.4" x14ac:dyDescent="0.3">
      <c r="B36" s="19" t="s">
        <v>29</v>
      </c>
      <c r="C36" s="10">
        <f>C34*0.1</f>
        <v>0</v>
      </c>
      <c r="D36" s="11"/>
      <c r="I36" s="14" t="s">
        <v>30</v>
      </c>
      <c r="J36" s="7">
        <f>O25</f>
        <v>0</v>
      </c>
      <c r="K36" s="11"/>
      <c r="L36" s="7" t="e">
        <f>J36/J34</f>
        <v>#DIV/0!</v>
      </c>
      <c r="R36" s="3"/>
      <c r="S36" s="3"/>
      <c r="T36" s="3"/>
      <c r="U36" s="3"/>
      <c r="V36" s="3"/>
      <c r="W36" s="3"/>
    </row>
    <row r="37" spans="1:23" x14ac:dyDescent="0.3">
      <c r="B37" s="14" t="s">
        <v>31</v>
      </c>
      <c r="C37" s="10">
        <f>SUM(C33:C36)</f>
        <v>0</v>
      </c>
      <c r="D37" s="11"/>
      <c r="I37" s="4"/>
      <c r="J37" s="17"/>
      <c r="K37" s="11"/>
      <c r="L37" s="11"/>
      <c r="R37" s="3"/>
      <c r="S37" s="3"/>
      <c r="T37" s="3"/>
      <c r="U37" s="3"/>
      <c r="V37" s="3"/>
      <c r="W37" s="3"/>
    </row>
    <row r="38" spans="1:23" x14ac:dyDescent="0.3">
      <c r="B38" s="14" t="s">
        <v>48</v>
      </c>
      <c r="C38" s="23"/>
      <c r="R38" s="3"/>
      <c r="S38" s="3"/>
      <c r="T38" s="3"/>
      <c r="U38" s="3"/>
      <c r="V38" s="3"/>
      <c r="W38" s="3"/>
    </row>
    <row r="39" spans="1:23" x14ac:dyDescent="0.3">
      <c r="B39" s="4" t="s">
        <v>32</v>
      </c>
      <c r="C39" s="10" t="e">
        <f>C37/C38</f>
        <v>#DIV/0!</v>
      </c>
      <c r="D39" s="20"/>
      <c r="I39" s="4" t="s">
        <v>33</v>
      </c>
      <c r="J39" s="21" t="e">
        <f>J36/L33</f>
        <v>#DIV/0!</v>
      </c>
      <c r="K39" s="22"/>
      <c r="L39" s="22"/>
      <c r="R39" s="3"/>
      <c r="S39" s="3"/>
      <c r="T39" s="3"/>
      <c r="U39" s="3"/>
      <c r="V39" s="3"/>
      <c r="W39" s="3"/>
    </row>
    <row r="40" spans="1:23" x14ac:dyDescent="0.3">
      <c r="R40" s="3"/>
      <c r="S40" s="3"/>
      <c r="T40" s="3"/>
      <c r="U40" s="3"/>
      <c r="V40" s="3"/>
      <c r="W40" s="3"/>
    </row>
    <row r="41" spans="1:23" x14ac:dyDescent="0.3">
      <c r="B41" s="4" t="s">
        <v>34</v>
      </c>
      <c r="I41" s="4" t="s">
        <v>35</v>
      </c>
      <c r="R41" s="3"/>
      <c r="S41" s="3"/>
      <c r="T41" s="3"/>
      <c r="U41" s="3"/>
      <c r="V41" s="3"/>
      <c r="W41" s="3"/>
    </row>
    <row r="42" spans="1:23" x14ac:dyDescent="0.3">
      <c r="R42" s="3"/>
      <c r="S42" s="3"/>
      <c r="T42" s="3"/>
      <c r="U42" s="3"/>
      <c r="V42" s="3"/>
      <c r="W42" s="3"/>
    </row>
    <row r="43" spans="1:23" x14ac:dyDescent="0.3">
      <c r="B43" s="4" t="s">
        <v>21</v>
      </c>
      <c r="C43" s="10">
        <f>C37</f>
        <v>0</v>
      </c>
      <c r="D43" s="5"/>
      <c r="E43" s="11"/>
      <c r="I43" s="4" t="s">
        <v>21</v>
      </c>
      <c r="J43" s="7" t="e">
        <f>J39*L31</f>
        <v>#DIV/0!</v>
      </c>
      <c r="K43" s="11"/>
      <c r="L43" s="11"/>
      <c r="R43" s="3"/>
      <c r="S43" s="3"/>
      <c r="T43" s="3"/>
      <c r="U43" s="3"/>
      <c r="V43" s="3"/>
      <c r="W43" s="3"/>
    </row>
    <row r="44" spans="1:23" x14ac:dyDescent="0.3">
      <c r="A44" s="4" t="s">
        <v>36</v>
      </c>
      <c r="B44" s="4" t="s">
        <v>37</v>
      </c>
      <c r="C44" s="10">
        <f>C31</f>
        <v>0</v>
      </c>
      <c r="D44" s="11"/>
      <c r="I44" s="4" t="s">
        <v>23</v>
      </c>
      <c r="J44" s="7" t="e">
        <f>L32*J39</f>
        <v>#DIV/0!</v>
      </c>
      <c r="L44" s="11"/>
      <c r="R44" s="3"/>
      <c r="S44" s="3"/>
      <c r="T44" s="3"/>
      <c r="U44" s="3"/>
      <c r="V44" s="3"/>
      <c r="W44" s="3"/>
    </row>
    <row r="45" spans="1:23" x14ac:dyDescent="0.3">
      <c r="A45" s="4" t="s">
        <v>38</v>
      </c>
      <c r="B45" s="4" t="s">
        <v>39</v>
      </c>
      <c r="C45" s="10">
        <f>C43-C44</f>
        <v>0</v>
      </c>
      <c r="D45" s="11"/>
      <c r="I45" s="4" t="s">
        <v>25</v>
      </c>
      <c r="J45" s="7" t="e">
        <f>J43-J44</f>
        <v>#DIV/0!</v>
      </c>
      <c r="L45" s="11"/>
      <c r="R45" s="3"/>
      <c r="S45" s="3"/>
      <c r="T45" s="3"/>
      <c r="U45" s="3"/>
      <c r="V45" s="3"/>
      <c r="W45" s="3"/>
    </row>
    <row r="46" spans="1:23" x14ac:dyDescent="0.3">
      <c r="A46" s="4" t="s">
        <v>36</v>
      </c>
      <c r="B46" s="4" t="s">
        <v>40</v>
      </c>
      <c r="C46" s="10">
        <f>C32</f>
        <v>0</v>
      </c>
      <c r="D46" s="11"/>
      <c r="I46" s="4" t="s">
        <v>41</v>
      </c>
      <c r="J46" s="7">
        <f>J36</f>
        <v>0</v>
      </c>
      <c r="L46" s="11"/>
      <c r="R46" s="3"/>
      <c r="S46" s="3"/>
      <c r="T46" s="3"/>
      <c r="U46" s="3"/>
      <c r="V46" s="3"/>
      <c r="W46" s="3"/>
    </row>
    <row r="47" spans="1:23" x14ac:dyDescent="0.3">
      <c r="A47" s="4" t="s">
        <v>42</v>
      </c>
      <c r="B47" s="4" t="s">
        <v>43</v>
      </c>
      <c r="C47" s="10">
        <f>C45-C46</f>
        <v>0</v>
      </c>
      <c r="D47" s="11"/>
      <c r="E47" s="11"/>
      <c r="I47" s="4" t="s">
        <v>44</v>
      </c>
      <c r="J47" s="7" t="e">
        <f>J45-J46</f>
        <v>#DIV/0!</v>
      </c>
      <c r="L47" s="11"/>
      <c r="R47" s="3"/>
      <c r="S47" s="3"/>
      <c r="T47" s="3"/>
      <c r="U47" s="3"/>
      <c r="V47" s="3"/>
      <c r="W47" s="3"/>
    </row>
    <row r="48" spans="1:23" x14ac:dyDescent="0.3">
      <c r="A48" s="4" t="s">
        <v>36</v>
      </c>
      <c r="B48" s="4" t="s">
        <v>45</v>
      </c>
      <c r="C48" s="10">
        <f>C35+C36</f>
        <v>0</v>
      </c>
      <c r="D48" s="11"/>
      <c r="R48" s="3"/>
      <c r="S48" s="3"/>
      <c r="T48" s="3"/>
      <c r="U48" s="3"/>
      <c r="V48" s="3"/>
      <c r="W48" s="3"/>
    </row>
    <row r="49" spans="1:23" x14ac:dyDescent="0.3">
      <c r="A49" s="4" t="s">
        <v>38</v>
      </c>
      <c r="B49" s="4" t="s">
        <v>46</v>
      </c>
      <c r="C49" s="10">
        <f>C47-C48</f>
        <v>0</v>
      </c>
      <c r="D49" s="11"/>
      <c r="E49" s="11"/>
      <c r="R49" s="3"/>
      <c r="S49" s="3"/>
      <c r="T49" s="3"/>
      <c r="U49" s="3"/>
      <c r="V49" s="3"/>
      <c r="W49" s="3"/>
    </row>
    <row r="50" spans="1:23" x14ac:dyDescent="0.3">
      <c r="R50" s="3"/>
      <c r="S50" s="3"/>
      <c r="T50" s="3"/>
      <c r="U50" s="3"/>
      <c r="V50" s="3"/>
      <c r="W50" s="3"/>
    </row>
    <row r="51" spans="1:23" x14ac:dyDescent="0.3">
      <c r="E51" s="11"/>
      <c r="R51" s="3"/>
      <c r="S51" s="3"/>
      <c r="T51" s="3"/>
      <c r="U51" s="3"/>
      <c r="V51" s="3"/>
      <c r="W51" s="3"/>
    </row>
    <row r="52" spans="1:23" x14ac:dyDescent="0.3">
      <c r="R52" s="3"/>
      <c r="S52" s="3"/>
      <c r="T52" s="3"/>
      <c r="U52" s="3"/>
      <c r="V52" s="3"/>
      <c r="W52" s="3"/>
    </row>
    <row r="53" spans="1:23" x14ac:dyDescent="0.3">
      <c r="E53" s="11"/>
      <c r="R53" s="3"/>
      <c r="S53" s="3"/>
      <c r="T53" s="3"/>
      <c r="U53" s="3"/>
      <c r="V53" s="3"/>
      <c r="W53" s="3"/>
    </row>
    <row r="54" spans="1:23" x14ac:dyDescent="0.3">
      <c r="R54" s="3"/>
      <c r="S54" s="3"/>
      <c r="T54" s="3"/>
      <c r="U54" s="3"/>
      <c r="V54" s="3"/>
      <c r="W54" s="3"/>
    </row>
    <row r="55" spans="1:23" x14ac:dyDescent="0.3">
      <c r="R55" s="3"/>
      <c r="S55" s="3"/>
      <c r="T55" s="3"/>
      <c r="U55" s="3"/>
      <c r="V55" s="3"/>
      <c r="W55" s="3"/>
    </row>
    <row r="56" spans="1:23" x14ac:dyDescent="0.3">
      <c r="R56" s="3"/>
      <c r="S56" s="3"/>
      <c r="T56" s="3"/>
      <c r="U56" s="3"/>
      <c r="V56" s="3"/>
      <c r="W56" s="3"/>
    </row>
    <row r="57" spans="1:23" x14ac:dyDescent="0.3">
      <c r="E57" s="4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PREDETERMINADOS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ALVARADO GARNICA, LUIS CARLOS</dc:creator>
  <cp:lastModifiedBy>ALVARADO GARNICA, LUIS CARLOS</cp:lastModifiedBy>
  <dcterms:created xsi:type="dcterms:W3CDTF">2026-06-27T03:53:48Z</dcterms:created>
  <dcterms:modified xsi:type="dcterms:W3CDTF">2026-06-27T05:36:54Z</dcterms:modified>
</cp:coreProperties>
</file>